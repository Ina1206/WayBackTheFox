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4.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hera\Desktop\狐の帰り道_2020_1_10\狐の帰り道\開発環境\狐の帰り道\Data\File\"/>
    </mc:Choice>
  </mc:AlternateContent>
  <bookViews>
    <workbookView xWindow="-105" yWindow="-105" windowWidth="23250" windowHeight="13170" activeTab="2"/>
  </bookViews>
  <sheets>
    <sheet name="Stage1" sheetId="1" r:id="rId1"/>
    <sheet name="Stage2" sheetId="2" r:id="rId2"/>
    <sheet name="Stage3" sheetId="3" r:id="rId3"/>
    <sheet name="Extra" sheetId="4" r:id="rId4"/>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7" i="2" l="1"/>
  <c r="J28" i="4"/>
  <c r="N22" i="4"/>
  <c r="K22" i="4"/>
  <c r="N20" i="4"/>
  <c r="K20" i="4"/>
  <c r="J27" i="4" s="1"/>
  <c r="N18" i="4"/>
  <c r="K18" i="4"/>
  <c r="J26" i="4" s="1"/>
  <c r="N16" i="4"/>
  <c r="K16" i="4"/>
  <c r="J25" i="4" s="1"/>
  <c r="J28" i="2"/>
  <c r="L27" i="4" l="1"/>
  <c r="N22" i="3"/>
  <c r="K22" i="3"/>
  <c r="N20" i="3"/>
  <c r="K20" i="3"/>
  <c r="N18" i="3"/>
  <c r="K18" i="3"/>
  <c r="N16" i="3"/>
  <c r="K16" i="3"/>
  <c r="N22" i="2" l="1"/>
  <c r="K22" i="2"/>
  <c r="N20" i="2"/>
  <c r="K20" i="2"/>
  <c r="N18" i="2"/>
  <c r="K18" i="2"/>
  <c r="J26" i="2" s="1"/>
  <c r="N16" i="2"/>
  <c r="K16" i="2"/>
  <c r="J25" i="2" s="1"/>
  <c r="L27" i="2" l="1"/>
  <c r="N16" i="1"/>
  <c r="N22" i="1" l="1"/>
  <c r="N20" i="1"/>
  <c r="N18" i="1"/>
  <c r="K22" i="1"/>
  <c r="K20" i="1"/>
  <c r="K18" i="1"/>
  <c r="K16" i="1"/>
</calcChain>
</file>

<file path=xl/sharedStrings.xml><?xml version="1.0" encoding="utf-8"?>
<sst xmlns="http://schemas.openxmlformats.org/spreadsheetml/2006/main" count="360" uniqueCount="53">
  <si>
    <t>ステージの長さ</t>
    <rPh sb="5" eb="6">
      <t>ナガ</t>
    </rPh>
    <phoneticPr fontId="1"/>
  </si>
  <si>
    <t>ゴール</t>
    <phoneticPr fontId="1"/>
  </si>
  <si>
    <t>スタート</t>
  </si>
  <si>
    <t>敵の位置</t>
    <rPh sb="0" eb="1">
      <t>テキ</t>
    </rPh>
    <rPh sb="2" eb="4">
      <t>イチ</t>
    </rPh>
    <phoneticPr fontId="1"/>
  </si>
  <si>
    <t>コマンド</t>
    <phoneticPr fontId="1"/>
  </si>
  <si>
    <t>デカタヌキ</t>
    <phoneticPr fontId="1"/>
  </si>
  <si>
    <t>タヌキ</t>
  </si>
  <si>
    <t>B</t>
    <phoneticPr fontId="1"/>
  </si>
  <si>
    <t>Y</t>
    <phoneticPr fontId="1"/>
  </si>
  <si>
    <t>A</t>
    <phoneticPr fontId="1"/>
  </si>
  <si>
    <t>B</t>
    <phoneticPr fontId="1"/>
  </si>
  <si>
    <t>X</t>
    <phoneticPr fontId="1"/>
  </si>
  <si>
    <t>コマンド最大数</t>
    <rPh sb="4" eb="6">
      <t>サイダイ</t>
    </rPh>
    <rPh sb="6" eb="7">
      <t>スウ</t>
    </rPh>
    <phoneticPr fontId="1"/>
  </si>
  <si>
    <t>Y</t>
    <phoneticPr fontId="1"/>
  </si>
  <si>
    <t>使い方</t>
    <rPh sb="0" eb="1">
      <t>ツカ</t>
    </rPh>
    <rPh sb="2" eb="3">
      <t>カタ</t>
    </rPh>
    <phoneticPr fontId="1"/>
  </si>
  <si>
    <t>デカタヌキ</t>
  </si>
  <si>
    <t>A</t>
  </si>
  <si>
    <t>牛お化け</t>
  </si>
  <si>
    <t>ステージの長さは隣の数字のボタンで変更できます。</t>
    <rPh sb="5" eb="6">
      <t>ナガ</t>
    </rPh>
    <rPh sb="8" eb="9">
      <t>トナリ</t>
    </rPh>
    <rPh sb="10" eb="12">
      <t>スウジ</t>
    </rPh>
    <rPh sb="17" eb="19">
      <t>ヘンコウ</t>
    </rPh>
    <phoneticPr fontId="1"/>
  </si>
  <si>
    <t>敵やコマンドの配置の仕方なのですが、入力ではなく</t>
    <rPh sb="0" eb="1">
      <t>テキ</t>
    </rPh>
    <rPh sb="7" eb="9">
      <t>ハイチ</t>
    </rPh>
    <rPh sb="10" eb="12">
      <t>シカタ</t>
    </rPh>
    <rPh sb="18" eb="20">
      <t>ニュウリョク</t>
    </rPh>
    <phoneticPr fontId="1"/>
  </si>
  <si>
    <t>選択したセルに逆三角形のボタンがあるので</t>
    <rPh sb="0" eb="2">
      <t>センタク</t>
    </rPh>
    <rPh sb="7" eb="8">
      <t>ギャク</t>
    </rPh>
    <rPh sb="8" eb="11">
      <t>サンカッケイ</t>
    </rPh>
    <phoneticPr fontId="1"/>
  </si>
  <si>
    <t>そこに出てくる選択肢の中から選んでください</t>
  </si>
  <si>
    <t>配置が決まり次第コマンドチェックボタンを押して、</t>
    <rPh sb="0" eb="2">
      <t>ハイチ</t>
    </rPh>
    <rPh sb="3" eb="4">
      <t>キ</t>
    </rPh>
    <rPh sb="6" eb="8">
      <t>シダイ</t>
    </rPh>
    <rPh sb="20" eb="21">
      <t>オ</t>
    </rPh>
    <phoneticPr fontId="1"/>
  </si>
  <si>
    <t>それぞれの敵にコマンドボタンが</t>
    <rPh sb="5" eb="6">
      <t>テキ</t>
    </rPh>
    <phoneticPr fontId="1"/>
  </si>
  <si>
    <t>コマンドボタンが設定されていない場合コマンドの配置範囲の中で</t>
    <rPh sb="8" eb="10">
      <t>セッテイ</t>
    </rPh>
    <rPh sb="16" eb="18">
      <t>バアイ</t>
    </rPh>
    <rPh sb="23" eb="25">
      <t>ハイチ</t>
    </rPh>
    <rPh sb="25" eb="27">
      <t>ハンイ</t>
    </rPh>
    <rPh sb="28" eb="29">
      <t>ナカ</t>
    </rPh>
    <phoneticPr fontId="1"/>
  </si>
  <si>
    <t>セルが赤くなるので入力お願いします。</t>
    <rPh sb="3" eb="4">
      <t>アカ</t>
    </rPh>
    <rPh sb="9" eb="11">
      <t>ニュウリョク</t>
    </rPh>
    <rPh sb="12" eb="13">
      <t>ネガ</t>
    </rPh>
    <phoneticPr fontId="1"/>
  </si>
  <si>
    <t>全て設定されているかどうかの確認をお願いします</t>
    <rPh sb="18" eb="19">
      <t>ネガ</t>
    </rPh>
    <phoneticPr fontId="1"/>
  </si>
  <si>
    <t>コマンドボタンが設定されていないと</t>
    <rPh sb="8" eb="10">
      <t>セッテイ</t>
    </rPh>
    <phoneticPr fontId="1"/>
  </si>
  <si>
    <t>ゲームがちゃんと動かないので絶対に確認してくださいお願いします。</t>
  </si>
  <si>
    <t>敵とコマンドのCSV出力ボタンを押してもらって</t>
    <rPh sb="0" eb="1">
      <t>テキ</t>
    </rPh>
    <rPh sb="10" eb="12">
      <t>シュツリョク</t>
    </rPh>
    <rPh sb="16" eb="17">
      <t>オ</t>
    </rPh>
    <phoneticPr fontId="1"/>
  </si>
  <si>
    <t>ゲーム本体の「狐の帰り道」のexeファイルを起動してもらうと</t>
    <rPh sb="3" eb="5">
      <t>ホンタイ</t>
    </rPh>
    <rPh sb="7" eb="8">
      <t>キツネ</t>
    </rPh>
    <rPh sb="9" eb="10">
      <t>カエ</t>
    </rPh>
    <rPh sb="11" eb="12">
      <t>ミチ</t>
    </rPh>
    <rPh sb="22" eb="24">
      <t>キドウ</t>
    </rPh>
    <phoneticPr fontId="1"/>
  </si>
  <si>
    <t>ゲーム内での配置を確認できます。</t>
    <rPh sb="3" eb="4">
      <t>ナイ</t>
    </rPh>
    <rPh sb="6" eb="8">
      <t>ハイチ</t>
    </rPh>
    <rPh sb="9" eb="11">
      <t>カクニン</t>
    </rPh>
    <phoneticPr fontId="1"/>
  </si>
  <si>
    <t>※注意　デカタヌキはコマンドの関係上絶対に3体設定してください！！</t>
    <rPh sb="1" eb="3">
      <t>チュウイ</t>
    </rPh>
    <rPh sb="15" eb="18">
      <t>カンケイジョウ</t>
    </rPh>
    <rPh sb="18" eb="20">
      <t>ゼッタイ</t>
    </rPh>
    <rPh sb="22" eb="23">
      <t>タイ</t>
    </rPh>
    <rPh sb="23" eb="25">
      <t>セッテイ</t>
    </rPh>
    <phoneticPr fontId="1"/>
  </si>
  <si>
    <t>牛お化け</t>
    <rPh sb="0" eb="1">
      <t>ウシ</t>
    </rPh>
    <rPh sb="2" eb="3">
      <t>バ</t>
    </rPh>
    <phoneticPr fontId="1"/>
  </si>
  <si>
    <t>上タヌキ</t>
  </si>
  <si>
    <t>上タヌキ</t>
    <rPh sb="0" eb="1">
      <t>ウエ</t>
    </rPh>
    <phoneticPr fontId="1"/>
  </si>
  <si>
    <t>デカタヌキ</t>
    <phoneticPr fontId="1"/>
  </si>
  <si>
    <t>敵の最大数</t>
    <rPh sb="0" eb="1">
      <t>テキ</t>
    </rPh>
    <rPh sb="2" eb="4">
      <t>サイダイ</t>
    </rPh>
    <rPh sb="4" eb="5">
      <t>スウ</t>
    </rPh>
    <phoneticPr fontId="1"/>
  </si>
  <si>
    <t>タヌキ</t>
    <phoneticPr fontId="1"/>
  </si>
  <si>
    <t>B</t>
  </si>
  <si>
    <t>X</t>
  </si>
  <si>
    <t>Y</t>
  </si>
  <si>
    <t>コマンド</t>
    <phoneticPr fontId="1"/>
  </si>
  <si>
    <t>ゴール</t>
    <phoneticPr fontId="1"/>
  </si>
  <si>
    <t>A</t>
    <phoneticPr fontId="1"/>
  </si>
  <si>
    <t>タヌキ</t>
    <phoneticPr fontId="1"/>
  </si>
  <si>
    <t>A</t>
    <phoneticPr fontId="1"/>
  </si>
  <si>
    <t>B</t>
    <phoneticPr fontId="1"/>
  </si>
  <si>
    <t>X</t>
    <phoneticPr fontId="1"/>
  </si>
  <si>
    <t>コマンド</t>
    <phoneticPr fontId="1"/>
  </si>
  <si>
    <t>ゴール</t>
    <phoneticPr fontId="1"/>
  </si>
  <si>
    <t>タヌキ</t>
    <phoneticPr fontId="1"/>
  </si>
  <si>
    <t>X</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</si>
</sst>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游ゴシック"/>
      <family val="2"/>
      <charset val="128"/>
      <scheme val="minor"/>
    </font>
    <font>
      <sz val="6"/>
      <name val="游ゴシック"/>
      <family val="2"/>
      <charset val="128"/>
      <scheme val="minor"/>
    </font>
    <font>
      <sz val="18"/>
      <color theme="0"/>
      <name val="ＭＳ Ｐゴシック"/>
      <family val="3"/>
      <charset val="128"/>
    </font>
    <font>
      <b/>
      <sz val="14"/>
      <color theme="1"/>
      <name val="ＭＳ Ｐゴシック"/>
      <family val="3"/>
      <charset val="128"/>
    </font>
    <font>
      <b/>
      <sz val="14"/>
      <color theme="1"/>
      <name val="ＭＳ ゴシック"/>
      <family val="3"/>
      <charset val="128"/>
    </font>
  </fonts>
  <fills count="12">
    <fill>
      <patternFill patternType="none"/>
    </fill>
    <fill>
      <patternFill patternType="gray125"/>
    </fill>
    <fill>
      <patternFill patternType="solid">
        <fgColor theme="7" tint="0.39997558519241921"/>
        <bgColor indexed="64"/>
      </patternFill>
    </fill>
    <fill>
      <patternFill patternType="solid">
        <fgColor rgb="FFFFC000"/>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C00000"/>
        <bgColor indexed="64"/>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alignment vertical="center"/>
    </xf>
  </cellStyleXfs>
  <cellXfs count="56">
    <xf numFmtId="0" fontId="0" fillId="0" borderId="0" xfId="0">
      <alignment vertical="center"/>
    </xf>
    <xf numFmtId="0" fontId="0" fillId="0" borderId="2" xfId="0" applyFill="1" applyBorder="1" applyProtection="1">
      <alignment vertical="center"/>
      <protection locked="0"/>
    </xf>
    <xf numFmtId="0" fontId="0" fillId="0" borderId="3" xfId="0" applyFill="1" applyBorder="1" applyProtection="1">
      <alignment vertical="center"/>
      <protection locked="0"/>
    </xf>
    <xf numFmtId="0" fontId="0" fillId="0" borderId="4" xfId="0" applyFill="1" applyBorder="1" applyProtection="1">
      <alignment vertical="center"/>
      <protection locked="0"/>
    </xf>
    <xf numFmtId="0" fontId="0" fillId="0" borderId="5" xfId="0" applyFill="1" applyBorder="1" applyProtection="1">
      <alignment vertical="center"/>
      <protection locked="0"/>
    </xf>
    <xf numFmtId="0" fontId="0" fillId="0" borderId="0" xfId="0" applyFill="1" applyBorder="1" applyProtection="1">
      <alignment vertical="center"/>
      <protection locked="0"/>
    </xf>
    <xf numFmtId="0" fontId="0" fillId="0" borderId="6" xfId="0" applyFill="1" applyBorder="1" applyProtection="1">
      <alignment vertical="center"/>
      <protection locked="0"/>
    </xf>
    <xf numFmtId="0" fontId="0" fillId="0" borderId="0" xfId="0" applyBorder="1" applyProtection="1">
      <alignment vertical="center"/>
      <protection locked="0"/>
    </xf>
    <xf numFmtId="0" fontId="0" fillId="0" borderId="0" xfId="0" applyFill="1" applyBorder="1" applyAlignment="1" applyProtection="1">
      <alignment vertical="center"/>
      <protection locked="0"/>
    </xf>
    <xf numFmtId="0" fontId="0" fillId="0" borderId="5" xfId="0" applyFill="1" applyBorder="1" applyAlignment="1" applyProtection="1">
      <alignment vertical="center"/>
      <protection locked="0"/>
    </xf>
    <xf numFmtId="0" fontId="0" fillId="0" borderId="6" xfId="0" applyFill="1" applyBorder="1" applyAlignment="1" applyProtection="1">
      <alignment vertical="center"/>
      <protection locked="0"/>
    </xf>
    <xf numFmtId="0" fontId="0" fillId="0" borderId="0" xfId="0" applyFill="1" applyProtection="1">
      <alignment vertical="center"/>
      <protection locked="0"/>
    </xf>
    <xf numFmtId="0" fontId="0" fillId="0" borderId="0" xfId="0" applyProtection="1">
      <alignment vertical="center"/>
      <protection locked="0"/>
    </xf>
    <xf numFmtId="0" fontId="0" fillId="0" borderId="7" xfId="0" applyFill="1" applyBorder="1" applyProtection="1">
      <alignment vertical="center"/>
      <protection locked="0"/>
    </xf>
    <xf numFmtId="0" fontId="0" fillId="0" borderId="8" xfId="0" applyFill="1" applyBorder="1" applyProtection="1">
      <alignment vertical="center"/>
      <protection locked="0"/>
    </xf>
    <xf numFmtId="0" fontId="0" fillId="0" borderId="9" xfId="0" applyFill="1" applyBorder="1" applyProtection="1">
      <alignment vertical="center"/>
      <protection locked="0"/>
    </xf>
    <xf numFmtId="0" fontId="0" fillId="0" borderId="0" xfId="0" applyBorder="1" applyAlignment="1" applyProtection="1">
      <alignment vertical="center" wrapText="1"/>
      <protection locked="0"/>
    </xf>
    <xf numFmtId="0" fontId="0" fillId="0" borderId="0" xfId="0" applyBorder="1" applyAlignment="1" applyProtection="1">
      <alignment vertical="center"/>
      <protection locked="0"/>
    </xf>
    <xf numFmtId="0" fontId="0" fillId="0" borderId="11" xfId="0" applyBorder="1" applyAlignment="1" applyProtection="1">
      <alignment vertical="center"/>
      <protection locked="0"/>
    </xf>
    <xf numFmtId="0" fontId="0" fillId="0" borderId="12" xfId="0" applyBorder="1" applyAlignment="1" applyProtection="1">
      <alignment vertical="center" wrapText="1"/>
      <protection locked="0"/>
    </xf>
    <xf numFmtId="0" fontId="0" fillId="0" borderId="11" xfId="0" applyBorder="1" applyAlignment="1" applyProtection="1">
      <alignment vertical="center" wrapText="1"/>
      <protection locked="0"/>
    </xf>
    <xf numFmtId="0" fontId="0" fillId="0" borderId="11" xfId="0" applyBorder="1" applyProtection="1">
      <alignment vertical="center"/>
      <protection locked="0"/>
    </xf>
    <xf numFmtId="0" fontId="0" fillId="0" borderId="12" xfId="0" applyBorder="1" applyProtection="1">
      <alignment vertical="center"/>
      <protection locked="0"/>
    </xf>
    <xf numFmtId="0" fontId="0" fillId="0" borderId="12" xfId="0" applyBorder="1" applyAlignment="1" applyProtection="1">
      <alignment vertical="center"/>
      <protection locked="0"/>
    </xf>
    <xf numFmtId="0" fontId="0" fillId="0" borderId="13" xfId="0" applyBorder="1" applyProtection="1">
      <alignment vertical="center"/>
      <protection locked="0"/>
    </xf>
    <xf numFmtId="0" fontId="0" fillId="0" borderId="14" xfId="0" applyBorder="1" applyProtection="1">
      <alignment vertical="center"/>
      <protection locked="0"/>
    </xf>
    <xf numFmtId="0" fontId="0" fillId="0" borderId="15" xfId="0" applyBorder="1" applyProtection="1">
      <alignment vertical="center"/>
      <protection locked="0"/>
    </xf>
    <xf numFmtId="0" fontId="0" fillId="9" borderId="16" xfId="0" applyFill="1" applyBorder="1" applyProtection="1">
      <alignment vertical="center"/>
      <protection locked="0"/>
    </xf>
    <xf numFmtId="0" fontId="0" fillId="9" borderId="17" xfId="0" applyFill="1" applyBorder="1" applyProtection="1">
      <alignment vertical="center"/>
      <protection locked="0"/>
    </xf>
    <xf numFmtId="0" fontId="0" fillId="9" borderId="18" xfId="0" applyFill="1" applyBorder="1" applyProtection="1">
      <alignment vertical="center"/>
      <protection locked="0"/>
    </xf>
    <xf numFmtId="0" fontId="3" fillId="0" borderId="0" xfId="0" applyFont="1" applyFill="1" applyProtection="1">
      <alignment vertical="center"/>
      <protection locked="0"/>
    </xf>
    <xf numFmtId="0" fontId="4" fillId="0" borderId="0" xfId="0" applyFont="1" applyProtection="1">
      <alignment vertical="center"/>
      <protection locked="0"/>
    </xf>
    <xf numFmtId="0" fontId="0" fillId="0" borderId="0" xfId="0" applyFill="1" applyBorder="1" applyProtection="1">
      <alignment vertical="center"/>
      <protection locked="0"/>
    </xf>
    <xf numFmtId="0" fontId="0" fillId="0" borderId="0" xfId="0" applyFill="1" applyBorder="1" applyProtection="1">
      <alignment vertical="center"/>
      <protection locked="0"/>
    </xf>
    <xf numFmtId="0" fontId="0" fillId="0" borderId="0" xfId="0" applyFill="1" applyBorder="1" applyProtection="1">
      <alignment vertical="center"/>
      <protection locked="0"/>
    </xf>
    <xf numFmtId="0" fontId="0" fillId="11" borderId="0" xfId="0" applyFill="1" applyProtection="1">
      <alignment vertical="center"/>
      <protection locked="0"/>
    </xf>
    <xf numFmtId="0" fontId="0" fillId="0" borderId="9" xfId="0" applyFill="1" applyBorder="1" applyAlignment="1" applyProtection="1">
      <alignment vertical="center"/>
      <protection locked="0"/>
    </xf>
    <xf numFmtId="0" fontId="2" fillId="10" borderId="0" xfId="0" applyFont="1" applyFill="1" applyAlignment="1" applyProtection="1">
      <alignment horizontal="center" vertical="center"/>
      <protection locked="0"/>
    </xf>
    <xf numFmtId="0" fontId="0" fillId="4" borderId="19" xfId="0" applyFill="1" applyBorder="1" applyAlignment="1" applyProtection="1">
      <alignment horizontal="center" vertical="center"/>
      <protection locked="0"/>
    </xf>
    <xf numFmtId="0" fontId="0" fillId="4" borderId="21" xfId="0" applyFill="1"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24"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8" borderId="21" xfId="0" applyFill="1" applyBorder="1" applyAlignment="1" applyProtection="1">
      <alignment horizontal="center" vertical="center"/>
      <protection locked="0"/>
    </xf>
    <xf numFmtId="0" fontId="0" fillId="8" borderId="23" xfId="0" applyFill="1" applyBorder="1" applyAlignment="1" applyProtection="1">
      <alignment horizontal="center" vertical="center"/>
      <protection locked="0"/>
    </xf>
    <xf numFmtId="0" fontId="0" fillId="6" borderId="21" xfId="0" applyFill="1" applyBorder="1" applyAlignment="1" applyProtection="1">
      <alignment horizontal="center" vertical="center"/>
      <protection locked="0"/>
    </xf>
    <xf numFmtId="0" fontId="0" fillId="7" borderId="21" xfId="0" applyFill="1" applyBorder="1" applyAlignment="1" applyProtection="1">
      <alignment horizontal="center" vertical="center"/>
      <protection locked="0"/>
    </xf>
    <xf numFmtId="0" fontId="0" fillId="0" borderId="20" xfId="0" applyBorder="1" applyAlignment="1" applyProtection="1">
      <alignment horizontal="center" vertical="center"/>
    </xf>
    <xf numFmtId="0" fontId="0" fillId="0" borderId="22" xfId="0" applyBorder="1" applyAlignment="1" applyProtection="1">
      <alignment horizontal="center" vertical="center"/>
    </xf>
    <xf numFmtId="0" fontId="0" fillId="5" borderId="21" xfId="0" applyFill="1" applyBorder="1" applyAlignment="1" applyProtection="1">
      <alignment horizontal="center" vertical="center"/>
      <protection locked="0"/>
    </xf>
    <xf numFmtId="0" fontId="0" fillId="6" borderId="23" xfId="0"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2" borderId="10" xfId="0" applyFill="1" applyBorder="1" applyAlignment="1" applyProtection="1">
      <alignment horizontal="center" vertical="center"/>
    </xf>
    <xf numFmtId="0" fontId="0" fillId="0" borderId="1" xfId="0" applyBorder="1" applyAlignment="1" applyProtection="1">
      <alignment horizontal="center" vertical="center"/>
    </xf>
    <xf numFmtId="0" fontId="0" fillId="0" borderId="24" xfId="0" applyBorder="1" applyAlignment="1" applyProtection="1">
      <alignment horizontal="center" vertical="center"/>
    </xf>
    <xf numFmtId="0" fontId="0" fillId="0" borderId="6" xfId="0" applyBorder="1" applyProtection="1">
      <alignment vertical="center"/>
      <protection locked="0"/>
    </xf>
  </cellXfs>
  <cellStyles count="1">
    <cellStyle name="標準" xfId="0" builtinId="0"/>
  </cellStyles>
  <dxfs count="45">
    <dxf>
      <font>
        <color rgb="FF006100"/>
      </font>
      <fill>
        <patternFill>
          <bgColor rgb="FFC6EFCE"/>
        </patternFill>
      </fill>
    </dxf>
    <dxf>
      <font>
        <color theme="4" tint="-0.499984740745262"/>
      </font>
      <fill>
        <patternFill>
          <bgColor theme="8" tint="0.79998168889431442"/>
        </patternFill>
      </fill>
    </dxf>
    <dxf>
      <font>
        <color rgb="FFFF0000"/>
      </font>
      <fill>
        <patternFill>
          <bgColor theme="5" tint="0.79998168889431442"/>
        </patternFill>
      </fill>
    </dxf>
    <dxf>
      <font>
        <color theme="7"/>
      </font>
      <fill>
        <patternFill>
          <bgColor theme="7" tint="0.79998168889431442"/>
        </patternFill>
      </fill>
    </dxf>
    <dxf>
      <fill>
        <patternFill>
          <bgColor theme="5" tint="0.59996337778862885"/>
        </patternFill>
      </fill>
    </dxf>
    <dxf>
      <fill>
        <patternFill>
          <bgColor theme="5" tint="0.59996337778862885"/>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theme="9" tint="-0.499984740745262"/>
      </font>
      <fill>
        <patternFill>
          <bgColor theme="8" tint="0.39994506668294322"/>
        </patternFill>
      </fill>
    </dxf>
    <dxf>
      <font>
        <color rgb="FFC00000"/>
      </font>
      <fill>
        <patternFill>
          <bgColor theme="5" tint="0.59996337778862885"/>
        </patternFill>
      </fill>
    </dxf>
    <dxf>
      <font>
        <color theme="4" tint="-0.499984740745262"/>
      </font>
      <fill>
        <patternFill>
          <bgColor theme="4" tint="0.79998168889431442"/>
        </patternFill>
      </fill>
    </dxf>
    <dxf>
      <font>
        <color rgb="FF006100"/>
      </font>
      <fill>
        <patternFill>
          <bgColor rgb="FFC6EFCE"/>
        </patternFill>
      </fill>
    </dxf>
    <dxf>
      <font>
        <color theme="4" tint="-0.499984740745262"/>
      </font>
      <fill>
        <patternFill>
          <bgColor theme="8" tint="0.79998168889431442"/>
        </patternFill>
      </fill>
    </dxf>
    <dxf>
      <font>
        <color rgb="FFFF0000"/>
      </font>
      <fill>
        <patternFill>
          <bgColor theme="5" tint="0.79998168889431442"/>
        </patternFill>
      </fill>
    </dxf>
    <dxf>
      <font>
        <color theme="7"/>
      </font>
      <fill>
        <patternFill>
          <bgColor theme="7" tint="0.79998168889431442"/>
        </patternFill>
      </fill>
    </dxf>
    <dxf>
      <fill>
        <patternFill>
          <bgColor theme="5" tint="0.59996337778862885"/>
        </patternFill>
      </fill>
    </dxf>
    <dxf>
      <fill>
        <patternFill>
          <bgColor theme="5" tint="0.59996337778862885"/>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theme="9" tint="-0.499984740745262"/>
      </font>
      <fill>
        <patternFill>
          <bgColor theme="8" tint="0.39994506668294322"/>
        </patternFill>
      </fill>
    </dxf>
    <dxf>
      <font>
        <color rgb="FFC00000"/>
      </font>
      <fill>
        <patternFill>
          <bgColor theme="5" tint="0.59996337778862885"/>
        </patternFill>
      </fill>
    </dxf>
    <dxf>
      <font>
        <color theme="4" tint="-0.499984740745262"/>
      </font>
      <fill>
        <patternFill>
          <bgColor theme="4" tint="0.79998168889431442"/>
        </patternFill>
      </fill>
    </dxf>
    <dxf>
      <font>
        <color rgb="FF006100"/>
      </font>
      <fill>
        <patternFill>
          <bgColor rgb="FFC6EFCE"/>
        </patternFill>
      </fill>
    </dxf>
    <dxf>
      <font>
        <color theme="4" tint="-0.499984740745262"/>
      </font>
      <fill>
        <patternFill>
          <bgColor theme="8" tint="0.79998168889431442"/>
        </patternFill>
      </fill>
    </dxf>
    <dxf>
      <font>
        <color rgb="FFFF0000"/>
      </font>
      <fill>
        <patternFill>
          <bgColor theme="5" tint="0.79998168889431442"/>
        </patternFill>
      </fill>
    </dxf>
    <dxf>
      <font>
        <color theme="7"/>
      </font>
      <fill>
        <patternFill>
          <bgColor theme="7" tint="0.79998168889431442"/>
        </patternFill>
      </fill>
    </dxf>
    <dxf>
      <fill>
        <patternFill>
          <bgColor theme="5" tint="0.59996337778862885"/>
        </patternFill>
      </fill>
    </dxf>
    <dxf>
      <fill>
        <patternFill>
          <bgColor theme="5" tint="0.59996337778862885"/>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theme="9" tint="-0.499984740745262"/>
      </font>
      <fill>
        <patternFill>
          <bgColor theme="8" tint="0.39994506668294322"/>
        </patternFill>
      </fill>
    </dxf>
    <dxf>
      <font>
        <color rgb="FFC00000"/>
      </font>
      <fill>
        <patternFill>
          <bgColor theme="5" tint="0.59996337778862885"/>
        </patternFill>
      </fill>
    </dxf>
    <dxf>
      <font>
        <color theme="4" tint="-0.499984740745262"/>
      </font>
      <fill>
        <patternFill>
          <bgColor theme="4" tint="0.79998168889431442"/>
        </patternFill>
      </fill>
    </dxf>
    <dxf>
      <fill>
        <patternFill>
          <bgColor theme="5" tint="0.59996337778862885"/>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theme="9" tint="-0.499984740745262"/>
      </font>
      <fill>
        <patternFill>
          <bgColor theme="8" tint="0.39994506668294322"/>
        </patternFill>
      </fill>
    </dxf>
    <dxf>
      <font>
        <color rgb="FFC00000"/>
      </font>
      <fill>
        <patternFill>
          <bgColor theme="5" tint="0.59996337778862885"/>
        </patternFill>
      </fill>
    </dxf>
    <dxf>
      <font>
        <color theme="4" tint="-0.499984740745262"/>
      </font>
      <fill>
        <patternFill>
          <bgColor theme="4" tint="0.79998168889431442"/>
        </patternFill>
      </fill>
    </dxf>
    <dxf>
      <font>
        <color rgb="FF006100"/>
      </font>
      <fill>
        <patternFill>
          <bgColor rgb="FFC6EFCE"/>
        </patternFill>
      </fill>
    </dxf>
    <dxf>
      <font>
        <color theme="4" tint="-0.499984740745262"/>
      </font>
      <fill>
        <patternFill>
          <bgColor theme="8" tint="0.79998168889431442"/>
        </patternFill>
      </fill>
    </dxf>
    <dxf>
      <font>
        <color rgb="FFFF0000"/>
      </font>
      <fill>
        <patternFill>
          <bgColor theme="5" tint="0.79998168889431442"/>
        </patternFill>
      </fill>
    </dxf>
    <dxf>
      <font>
        <color theme="7"/>
      </font>
      <fill>
        <patternFill>
          <bgColor theme="7" tint="0.79998168889431442"/>
        </patternFill>
      </fill>
    </dxf>
    <dxf>
      <fill>
        <patternFill>
          <bgColor theme="5" tint="0.59996337778862885"/>
        </patternFill>
      </fill>
    </dxf>
    <dxf>
      <fill>
        <patternFill>
          <bgColor theme="5" tint="0.59996337778862885"/>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theme="9" tint="-0.499984740745262"/>
      </font>
      <fill>
        <patternFill>
          <bgColor theme="8" tint="0.39994506668294322"/>
        </patternFill>
      </fill>
    </dxf>
    <dxf>
      <font>
        <color rgb="FFC00000"/>
      </font>
      <fill>
        <patternFill>
          <bgColor theme="5" tint="0.59996337778862885"/>
        </patternFill>
      </fill>
    </dxf>
    <dxf>
      <font>
        <color theme="4" tint="-0.499984740745262"/>
      </font>
      <fill>
        <patternFill>
          <bgColor theme="4" tint="0.79998168889431442"/>
        </patternFill>
      </fill>
    </dxf>
  </dxfs>
  <tableStyles count="0" defaultTableStyle="TableStyleMedium2" defaultPivotStyle="PivotStyleLight16"/>
  <colors>
    <mruColors>
      <color rgb="FFFF8B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3.emf"/><Relationship Id="rId5" Type="http://schemas.openxmlformats.org/officeDocument/2006/relationships/image" Target="../media/image14.emf"/><Relationship Id="rId4"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9</xdr:row>
          <xdr:rowOff>19050</xdr:rowOff>
        </xdr:from>
        <xdr:to>
          <xdr:col>12</xdr:col>
          <xdr:colOff>514350</xdr:colOff>
          <xdr:row>11</xdr:row>
          <xdr:rowOff>209550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219075</xdr:rowOff>
        </xdr:from>
        <xdr:to>
          <xdr:col>12</xdr:col>
          <xdr:colOff>19050</xdr:colOff>
          <xdr:row>2</xdr:row>
          <xdr:rowOff>219075</xdr:rowOff>
        </xdr:to>
        <xdr:sp macro="" textlink="">
          <xdr:nvSpPr>
            <xdr:cNvPr id="1029" name="Stage_Long_OneUP"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219075</xdr:rowOff>
        </xdr:from>
        <xdr:to>
          <xdr:col>12</xdr:col>
          <xdr:colOff>19050</xdr:colOff>
          <xdr:row>3</xdr:row>
          <xdr:rowOff>228600</xdr:rowOff>
        </xdr:to>
        <xdr:sp macro="" textlink="">
          <xdr:nvSpPr>
            <xdr:cNvPr id="1030" name="Stage_Long_OneDow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19050</xdr:rowOff>
        </xdr:from>
        <xdr:to>
          <xdr:col>12</xdr:col>
          <xdr:colOff>19050</xdr:colOff>
          <xdr:row>5</xdr:row>
          <xdr:rowOff>28575</xdr:rowOff>
        </xdr:to>
        <xdr:sp macro="" textlink="">
          <xdr:nvSpPr>
            <xdr:cNvPr id="1031" name="Stage_Long_TenDown"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xdr:row>
          <xdr:rowOff>0</xdr:rowOff>
        </xdr:from>
        <xdr:to>
          <xdr:col>12</xdr:col>
          <xdr:colOff>28575</xdr:colOff>
          <xdr:row>2</xdr:row>
          <xdr:rowOff>0</xdr:rowOff>
        </xdr:to>
        <xdr:sp macro="" textlink="">
          <xdr:nvSpPr>
            <xdr:cNvPr id="1032" name="Stage_Long_TenUP"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19050</xdr:rowOff>
        </xdr:from>
        <xdr:to>
          <xdr:col>12</xdr:col>
          <xdr:colOff>590550</xdr:colOff>
          <xdr:row>8</xdr:row>
          <xdr:rowOff>38100</xdr:rowOff>
        </xdr:to>
        <xdr:sp macro="" textlink="">
          <xdr:nvSpPr>
            <xdr:cNvPr id="1035" name="CommandCheck"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9</xdr:row>
          <xdr:rowOff>19050</xdr:rowOff>
        </xdr:from>
        <xdr:to>
          <xdr:col>12</xdr:col>
          <xdr:colOff>485775</xdr:colOff>
          <xdr:row>11</xdr:row>
          <xdr:rowOff>209550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219075</xdr:rowOff>
        </xdr:from>
        <xdr:to>
          <xdr:col>11</xdr:col>
          <xdr:colOff>685800</xdr:colOff>
          <xdr:row>2</xdr:row>
          <xdr:rowOff>219075</xdr:rowOff>
        </xdr:to>
        <xdr:sp macro="" textlink="">
          <xdr:nvSpPr>
            <xdr:cNvPr id="2050" name="Stage_Long_OneUP"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219075</xdr:rowOff>
        </xdr:from>
        <xdr:to>
          <xdr:col>11</xdr:col>
          <xdr:colOff>685800</xdr:colOff>
          <xdr:row>3</xdr:row>
          <xdr:rowOff>228600</xdr:rowOff>
        </xdr:to>
        <xdr:sp macro="" textlink="">
          <xdr:nvSpPr>
            <xdr:cNvPr id="2051" name="Stage_Long_OneDow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19050</xdr:rowOff>
        </xdr:from>
        <xdr:to>
          <xdr:col>11</xdr:col>
          <xdr:colOff>685800</xdr:colOff>
          <xdr:row>5</xdr:row>
          <xdr:rowOff>28575</xdr:rowOff>
        </xdr:to>
        <xdr:sp macro="" textlink="">
          <xdr:nvSpPr>
            <xdr:cNvPr id="2052" name="Stage_Long_TenDow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xdr:row>
          <xdr:rowOff>0</xdr:rowOff>
        </xdr:from>
        <xdr:to>
          <xdr:col>12</xdr:col>
          <xdr:colOff>0</xdr:colOff>
          <xdr:row>2</xdr:row>
          <xdr:rowOff>0</xdr:rowOff>
        </xdr:to>
        <xdr:sp macro="" textlink="">
          <xdr:nvSpPr>
            <xdr:cNvPr id="2053" name="Stage_Long_TenUP"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19050</xdr:rowOff>
        </xdr:from>
        <xdr:to>
          <xdr:col>12</xdr:col>
          <xdr:colOff>561975</xdr:colOff>
          <xdr:row>8</xdr:row>
          <xdr:rowOff>38100</xdr:rowOff>
        </xdr:to>
        <xdr:sp macro="" textlink="">
          <xdr:nvSpPr>
            <xdr:cNvPr id="2054" name="CommandCheck"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9</xdr:row>
          <xdr:rowOff>19050</xdr:rowOff>
        </xdr:from>
        <xdr:to>
          <xdr:col>12</xdr:col>
          <xdr:colOff>514350</xdr:colOff>
          <xdr:row>11</xdr:row>
          <xdr:rowOff>209550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219075</xdr:rowOff>
        </xdr:from>
        <xdr:to>
          <xdr:col>12</xdr:col>
          <xdr:colOff>19050</xdr:colOff>
          <xdr:row>2</xdr:row>
          <xdr:rowOff>219075</xdr:rowOff>
        </xdr:to>
        <xdr:sp macro="" textlink="">
          <xdr:nvSpPr>
            <xdr:cNvPr id="3074" name="Stage_Long_OneUP"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219075</xdr:rowOff>
        </xdr:from>
        <xdr:to>
          <xdr:col>12</xdr:col>
          <xdr:colOff>19050</xdr:colOff>
          <xdr:row>3</xdr:row>
          <xdr:rowOff>228600</xdr:rowOff>
        </xdr:to>
        <xdr:sp macro="" textlink="">
          <xdr:nvSpPr>
            <xdr:cNvPr id="3075" name="Stage_Long_OneDown"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19050</xdr:rowOff>
        </xdr:from>
        <xdr:to>
          <xdr:col>12</xdr:col>
          <xdr:colOff>19050</xdr:colOff>
          <xdr:row>5</xdr:row>
          <xdr:rowOff>28575</xdr:rowOff>
        </xdr:to>
        <xdr:sp macro="" textlink="">
          <xdr:nvSpPr>
            <xdr:cNvPr id="3076" name="Stage_Long_TenDown"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xdr:row>
          <xdr:rowOff>0</xdr:rowOff>
        </xdr:from>
        <xdr:to>
          <xdr:col>12</xdr:col>
          <xdr:colOff>28575</xdr:colOff>
          <xdr:row>2</xdr:row>
          <xdr:rowOff>0</xdr:rowOff>
        </xdr:to>
        <xdr:sp macro="" textlink="">
          <xdr:nvSpPr>
            <xdr:cNvPr id="3077" name="Stage_Long_TenUP"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19050</xdr:rowOff>
        </xdr:from>
        <xdr:to>
          <xdr:col>12</xdr:col>
          <xdr:colOff>590550</xdr:colOff>
          <xdr:row>8</xdr:row>
          <xdr:rowOff>38100</xdr:rowOff>
        </xdr:to>
        <xdr:sp macro="" textlink="">
          <xdr:nvSpPr>
            <xdr:cNvPr id="3078" name="CommandCheck"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9</xdr:row>
          <xdr:rowOff>19050</xdr:rowOff>
        </xdr:from>
        <xdr:to>
          <xdr:col>12</xdr:col>
          <xdr:colOff>485775</xdr:colOff>
          <xdr:row>11</xdr:row>
          <xdr:rowOff>209550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219075</xdr:rowOff>
        </xdr:from>
        <xdr:to>
          <xdr:col>11</xdr:col>
          <xdr:colOff>685800</xdr:colOff>
          <xdr:row>2</xdr:row>
          <xdr:rowOff>219075</xdr:rowOff>
        </xdr:to>
        <xdr:sp macro="" textlink="">
          <xdr:nvSpPr>
            <xdr:cNvPr id="4098" name="Stage_Long_OneUP"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219075</xdr:rowOff>
        </xdr:from>
        <xdr:to>
          <xdr:col>11</xdr:col>
          <xdr:colOff>685800</xdr:colOff>
          <xdr:row>3</xdr:row>
          <xdr:rowOff>228600</xdr:rowOff>
        </xdr:to>
        <xdr:sp macro="" textlink="">
          <xdr:nvSpPr>
            <xdr:cNvPr id="4099" name="Stage_Long_OneDown"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19050</xdr:rowOff>
        </xdr:from>
        <xdr:to>
          <xdr:col>11</xdr:col>
          <xdr:colOff>685800</xdr:colOff>
          <xdr:row>5</xdr:row>
          <xdr:rowOff>28575</xdr:rowOff>
        </xdr:to>
        <xdr:sp macro="" textlink="">
          <xdr:nvSpPr>
            <xdr:cNvPr id="4100" name="Stage_Long_TenDown"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xdr:row>
          <xdr:rowOff>0</xdr:rowOff>
        </xdr:from>
        <xdr:to>
          <xdr:col>12</xdr:col>
          <xdr:colOff>0</xdr:colOff>
          <xdr:row>2</xdr:row>
          <xdr:rowOff>0</xdr:rowOff>
        </xdr:to>
        <xdr:sp macro="" textlink="">
          <xdr:nvSpPr>
            <xdr:cNvPr id="4101" name="Stage_Long_TenUP"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xdr:row>
          <xdr:rowOff>19050</xdr:rowOff>
        </xdr:from>
        <xdr:to>
          <xdr:col>12</xdr:col>
          <xdr:colOff>561975</xdr:colOff>
          <xdr:row>8</xdr:row>
          <xdr:rowOff>38100</xdr:rowOff>
        </xdr:to>
        <xdr:sp macro="" textlink="">
          <xdr:nvSpPr>
            <xdr:cNvPr id="4102" name="CommandCheck"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vmlDrawing" Target="../drawings/vmlDrawing2.vml"/><Relationship Id="rId7" Type="http://schemas.openxmlformats.org/officeDocument/2006/relationships/image" Target="../media/image8.emf"/><Relationship Id="rId12" Type="http://schemas.openxmlformats.org/officeDocument/2006/relationships/control" Target="../activeX/activeX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15.emf"/><Relationship Id="rId14"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23.emf"/><Relationship Id="rId3" Type="http://schemas.openxmlformats.org/officeDocument/2006/relationships/vmlDrawing" Target="../drawings/vmlDrawing4.vml"/><Relationship Id="rId7" Type="http://schemas.openxmlformats.org/officeDocument/2006/relationships/image" Target="../media/image20.emf"/><Relationship Id="rId12" Type="http://schemas.openxmlformats.org/officeDocument/2006/relationships/control" Target="../activeX/activeX2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0.xml"/><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control" Target="../activeX/activeX22.xml"/><Relationship Id="rId4" Type="http://schemas.openxmlformats.org/officeDocument/2006/relationships/control" Target="../activeX/activeX19.xml"/><Relationship Id="rId9" Type="http://schemas.openxmlformats.org/officeDocument/2006/relationships/image" Target="../media/image21.emf"/><Relationship Id="rId14" Type="http://schemas.openxmlformats.org/officeDocument/2006/relationships/control" Target="../activeX/activeX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304"/>
  <sheetViews>
    <sheetView topLeftCell="A4" zoomScaleNormal="100" workbookViewId="0">
      <selection activeCell="B54" sqref="B54:H54"/>
    </sheetView>
  </sheetViews>
  <sheetFormatPr defaultColWidth="8.75" defaultRowHeight="18.75" x14ac:dyDescent="0.4"/>
  <cols>
    <col min="1" max="1" width="8.75" style="12"/>
    <col min="2" max="4" width="11" style="12" bestFit="1" customWidth="1"/>
    <col min="5" max="9" width="8.75" style="12"/>
    <col min="10" max="10" width="10.375" style="12" bestFit="1" customWidth="1"/>
    <col min="11" max="14" width="8.75" style="12"/>
    <col min="15" max="15" width="3.125" style="12" customWidth="1"/>
    <col min="16" max="16384" width="8.75" style="12"/>
  </cols>
  <sheetData>
    <row r="1" spans="1:22" ht="36" customHeight="1" thickBot="1" x14ac:dyDescent="0.45">
      <c r="A1" s="37" t="s">
        <v>32</v>
      </c>
      <c r="B1" s="37"/>
      <c r="C1" s="37"/>
      <c r="D1" s="37"/>
      <c r="E1" s="37"/>
      <c r="F1" s="37"/>
      <c r="G1" s="37"/>
      <c r="H1" s="37"/>
      <c r="I1" s="37"/>
      <c r="J1" s="37"/>
    </row>
    <row r="2" spans="1:22" ht="19.5" thickBot="1" x14ac:dyDescent="0.45">
      <c r="A2" s="11"/>
      <c r="B2" s="30" t="s">
        <v>3</v>
      </c>
      <c r="F2" s="31" t="s">
        <v>4</v>
      </c>
      <c r="P2" s="27" t="s">
        <v>14</v>
      </c>
      <c r="Q2" s="28"/>
      <c r="R2" s="28"/>
      <c r="S2" s="28"/>
      <c r="T2" s="28"/>
      <c r="U2" s="28"/>
      <c r="V2" s="29"/>
    </row>
    <row r="3" spans="1:22" ht="18.75" customHeight="1" x14ac:dyDescent="0.4">
      <c r="B3" s="51" t="s">
        <v>1</v>
      </c>
      <c r="C3" s="51"/>
      <c r="D3" s="51"/>
      <c r="F3" s="51" t="s">
        <v>1</v>
      </c>
      <c r="G3" s="51"/>
      <c r="H3" s="51"/>
      <c r="J3" s="52" t="s">
        <v>0</v>
      </c>
      <c r="K3" s="52"/>
      <c r="P3" s="18" t="s">
        <v>18</v>
      </c>
      <c r="Q3" s="16"/>
      <c r="R3" s="16"/>
      <c r="S3" s="16"/>
      <c r="T3" s="16"/>
      <c r="U3" s="16"/>
      <c r="V3" s="19"/>
    </row>
    <row r="4" spans="1:22" x14ac:dyDescent="0.4">
      <c r="B4" s="1" t="s">
        <v>5</v>
      </c>
      <c r="C4" s="2" t="s">
        <v>15</v>
      </c>
      <c r="D4" s="3" t="s">
        <v>5</v>
      </c>
      <c r="E4" s="5"/>
      <c r="F4" s="1" t="s">
        <v>40</v>
      </c>
      <c r="G4" s="2" t="s">
        <v>7</v>
      </c>
      <c r="H4" s="3" t="s">
        <v>8</v>
      </c>
      <c r="I4" s="7"/>
      <c r="J4" s="53">
        <v>85</v>
      </c>
      <c r="K4" s="53"/>
      <c r="L4" s="7"/>
      <c r="M4" s="7"/>
      <c r="N4" s="7"/>
      <c r="O4" s="7"/>
      <c r="P4" s="20"/>
      <c r="Q4" s="16"/>
      <c r="R4" s="16"/>
      <c r="S4" s="16"/>
      <c r="T4" s="16"/>
      <c r="U4" s="16"/>
      <c r="V4" s="19"/>
    </row>
    <row r="5" spans="1:22" x14ac:dyDescent="0.4">
      <c r="B5" s="9"/>
      <c r="C5" s="8"/>
      <c r="D5" s="10" t="s">
        <v>6</v>
      </c>
      <c r="E5" s="5"/>
      <c r="F5" s="4"/>
      <c r="G5" s="34"/>
      <c r="H5" s="6" t="s">
        <v>16</v>
      </c>
      <c r="I5" s="7"/>
      <c r="J5" s="7"/>
      <c r="K5" s="7"/>
      <c r="L5" s="7"/>
      <c r="M5" s="7"/>
      <c r="N5" s="7"/>
      <c r="O5" s="7"/>
      <c r="P5" s="18" t="s">
        <v>19</v>
      </c>
      <c r="Q5" s="16"/>
      <c r="R5" s="16"/>
      <c r="S5" s="16"/>
      <c r="T5" s="16"/>
      <c r="U5" s="16"/>
      <c r="V5" s="19"/>
    </row>
    <row r="6" spans="1:22" x14ac:dyDescent="0.4">
      <c r="B6" s="4"/>
      <c r="C6" s="34"/>
      <c r="D6" s="6" t="s">
        <v>6</v>
      </c>
      <c r="E6" s="5"/>
      <c r="F6" s="4"/>
      <c r="G6" s="34"/>
      <c r="H6" s="6" t="s">
        <v>41</v>
      </c>
      <c r="I6" s="7"/>
      <c r="J6" s="7"/>
      <c r="K6" s="7"/>
      <c r="L6" s="7"/>
      <c r="M6" s="7"/>
      <c r="N6" s="7"/>
      <c r="O6" s="7"/>
      <c r="P6" s="18" t="s">
        <v>20</v>
      </c>
      <c r="Q6" s="16"/>
      <c r="R6" s="16"/>
      <c r="S6" s="16"/>
      <c r="T6" s="16"/>
      <c r="U6" s="16"/>
      <c r="V6" s="19"/>
    </row>
    <row r="7" spans="1:22" x14ac:dyDescent="0.4">
      <c r="B7" s="4"/>
      <c r="C7" s="34"/>
      <c r="D7" s="6" t="s">
        <v>6</v>
      </c>
      <c r="E7" s="5"/>
      <c r="F7" s="4"/>
      <c r="G7" s="34"/>
      <c r="H7" s="6" t="s">
        <v>41</v>
      </c>
      <c r="I7" s="7"/>
      <c r="J7" s="7"/>
      <c r="K7" s="7"/>
      <c r="L7" s="7"/>
      <c r="M7" s="7"/>
      <c r="N7" s="7"/>
      <c r="O7" s="7"/>
      <c r="P7" s="18" t="s">
        <v>21</v>
      </c>
      <c r="Q7" s="17"/>
      <c r="R7" s="17"/>
      <c r="S7" s="17"/>
      <c r="T7" s="17"/>
      <c r="U7" s="16"/>
      <c r="V7" s="19"/>
    </row>
    <row r="8" spans="1:22" x14ac:dyDescent="0.4">
      <c r="B8" s="4"/>
      <c r="C8" s="34"/>
      <c r="D8" s="6" t="s">
        <v>6</v>
      </c>
      <c r="E8" s="5"/>
      <c r="F8" s="4"/>
      <c r="G8" s="34"/>
      <c r="H8" s="6" t="s">
        <v>40</v>
      </c>
      <c r="I8" s="7"/>
      <c r="J8" s="7"/>
      <c r="K8" s="7"/>
      <c r="L8" s="7"/>
      <c r="M8" s="7"/>
      <c r="N8" s="7"/>
      <c r="O8" s="7"/>
      <c r="P8" s="21"/>
      <c r="Q8" s="7"/>
      <c r="R8" s="7"/>
      <c r="S8" s="7"/>
      <c r="T8" s="7"/>
      <c r="U8" s="7"/>
      <c r="V8" s="22"/>
    </row>
    <row r="9" spans="1:22" x14ac:dyDescent="0.4">
      <c r="B9" s="4" t="s">
        <v>34</v>
      </c>
      <c r="C9" s="34"/>
      <c r="D9" s="6"/>
      <c r="E9" s="5"/>
      <c r="F9" s="4" t="s">
        <v>16</v>
      </c>
      <c r="G9" s="34"/>
      <c r="H9" s="6"/>
      <c r="I9" s="7"/>
      <c r="J9" s="7"/>
      <c r="K9" s="7"/>
      <c r="L9" s="7"/>
      <c r="M9" s="7"/>
      <c r="N9" s="7"/>
      <c r="O9" s="7"/>
      <c r="P9" s="21" t="s">
        <v>22</v>
      </c>
      <c r="Q9" s="7"/>
      <c r="R9" s="7"/>
      <c r="S9" s="7"/>
      <c r="T9" s="7"/>
      <c r="U9" s="7"/>
      <c r="V9" s="22"/>
    </row>
    <row r="10" spans="1:22" ht="18.75" customHeight="1" x14ac:dyDescent="0.4">
      <c r="B10" s="4"/>
      <c r="C10" s="34"/>
      <c r="D10" s="6"/>
      <c r="E10" s="5"/>
      <c r="F10" s="4"/>
      <c r="G10" s="34"/>
      <c r="H10" s="6"/>
      <c r="I10" s="7"/>
      <c r="J10" s="7"/>
      <c r="K10" s="7"/>
      <c r="L10" s="7"/>
      <c r="M10" s="7"/>
      <c r="N10" s="7"/>
      <c r="O10" s="7"/>
      <c r="P10" s="18" t="s">
        <v>23</v>
      </c>
      <c r="Q10" s="17"/>
      <c r="R10" s="17"/>
      <c r="S10" s="17"/>
      <c r="T10" s="17"/>
      <c r="U10" s="17"/>
      <c r="V10" s="23"/>
    </row>
    <row r="11" spans="1:22" x14ac:dyDescent="0.4">
      <c r="B11" s="4" t="s">
        <v>17</v>
      </c>
      <c r="C11" s="34"/>
      <c r="D11" s="6"/>
      <c r="E11" s="5"/>
      <c r="F11" s="4" t="s">
        <v>39</v>
      </c>
      <c r="G11" s="34"/>
      <c r="H11" s="6"/>
      <c r="I11" s="7"/>
      <c r="J11" s="7"/>
      <c r="K11" s="7"/>
      <c r="L11" s="7"/>
      <c r="M11" s="7"/>
      <c r="N11" s="7"/>
      <c r="O11" s="7"/>
      <c r="P11" s="18" t="s">
        <v>26</v>
      </c>
      <c r="Q11" s="17"/>
      <c r="R11" s="17"/>
      <c r="S11" s="17"/>
      <c r="T11" s="17"/>
      <c r="U11" s="17"/>
      <c r="V11" s="23"/>
    </row>
    <row r="12" spans="1:22" x14ac:dyDescent="0.4">
      <c r="B12" s="9"/>
      <c r="C12" s="34" t="s">
        <v>6</v>
      </c>
      <c r="D12" s="10"/>
      <c r="E12" s="5"/>
      <c r="F12" s="9"/>
      <c r="G12" s="8" t="s">
        <v>16</v>
      </c>
      <c r="H12" s="10"/>
      <c r="I12" s="7"/>
      <c r="J12" s="7"/>
      <c r="K12" s="7"/>
      <c r="L12" s="7"/>
      <c r="M12" s="7"/>
      <c r="N12" s="7"/>
      <c r="O12" s="7"/>
      <c r="P12" s="21" t="s">
        <v>24</v>
      </c>
      <c r="Q12" s="7"/>
      <c r="R12" s="7"/>
      <c r="S12" s="7"/>
      <c r="T12" s="7"/>
      <c r="U12" s="7"/>
      <c r="V12" s="22"/>
    </row>
    <row r="13" spans="1:22" x14ac:dyDescent="0.4">
      <c r="B13" s="4"/>
      <c r="C13" s="34" t="s">
        <v>6</v>
      </c>
      <c r="D13" s="6"/>
      <c r="E13" s="5"/>
      <c r="F13" s="4"/>
      <c r="G13" s="34" t="s">
        <v>41</v>
      </c>
      <c r="H13" s="6"/>
      <c r="I13" s="7"/>
      <c r="J13" s="7"/>
      <c r="K13" s="7"/>
      <c r="L13" s="7"/>
      <c r="M13" s="7"/>
      <c r="N13" s="7"/>
      <c r="O13" s="7"/>
      <c r="P13" s="21" t="s">
        <v>25</v>
      </c>
      <c r="Q13" s="7"/>
      <c r="R13" s="7"/>
      <c r="S13" s="7"/>
      <c r="T13" s="7"/>
      <c r="U13" s="7"/>
      <c r="V13" s="22"/>
    </row>
    <row r="14" spans="1:22" x14ac:dyDescent="0.4">
      <c r="B14" s="4"/>
      <c r="C14" s="34" t="s">
        <v>6</v>
      </c>
      <c r="D14" s="6"/>
      <c r="E14" s="5"/>
      <c r="F14" s="4"/>
      <c r="G14" s="34" t="s">
        <v>41</v>
      </c>
      <c r="H14" s="6"/>
      <c r="I14" s="7"/>
      <c r="J14" s="5"/>
      <c r="K14" s="7"/>
      <c r="L14" s="7"/>
      <c r="M14" s="7"/>
      <c r="N14" s="7"/>
      <c r="O14" s="7"/>
      <c r="P14" s="21" t="s">
        <v>27</v>
      </c>
      <c r="Q14" s="7"/>
      <c r="R14" s="7"/>
      <c r="S14" s="7"/>
      <c r="T14" s="7"/>
      <c r="U14" s="7"/>
      <c r="V14" s="22"/>
    </row>
    <row r="15" spans="1:22" ht="19.5" thickBot="1" x14ac:dyDescent="0.45">
      <c r="B15" s="4"/>
      <c r="C15" s="7"/>
      <c r="D15" s="6"/>
      <c r="E15" s="5"/>
      <c r="F15" s="4"/>
      <c r="G15" s="34"/>
      <c r="H15" s="6"/>
      <c r="I15" s="7"/>
      <c r="J15" s="5" t="s">
        <v>37</v>
      </c>
      <c r="L15" s="7"/>
      <c r="M15" s="7" t="s">
        <v>12</v>
      </c>
      <c r="P15" s="21" t="s">
        <v>28</v>
      </c>
      <c r="Q15" s="7"/>
      <c r="R15" s="7"/>
      <c r="S15" s="7"/>
      <c r="T15" s="7"/>
      <c r="U15" s="7"/>
      <c r="V15" s="22"/>
    </row>
    <row r="16" spans="1:22" x14ac:dyDescent="0.4">
      <c r="B16" s="4"/>
      <c r="C16" s="34" t="s">
        <v>17</v>
      </c>
      <c r="D16" s="6"/>
      <c r="E16" s="5"/>
      <c r="F16" s="4"/>
      <c r="G16" s="34" t="s">
        <v>16</v>
      </c>
      <c r="H16" s="6"/>
      <c r="I16" s="7"/>
      <c r="J16" s="38" t="s">
        <v>38</v>
      </c>
      <c r="K16" s="47">
        <f>COUNTIF(B4:D314, "タヌキ")</f>
        <v>20</v>
      </c>
      <c r="L16" s="7"/>
      <c r="M16" s="38" t="s">
        <v>9</v>
      </c>
      <c r="N16" s="42">
        <f>COUNTIF(F4:H312,"A")</f>
        <v>11</v>
      </c>
      <c r="P16" s="21"/>
      <c r="Q16" s="7"/>
      <c r="R16" s="7"/>
      <c r="S16" s="7"/>
      <c r="T16" s="7"/>
      <c r="U16" s="7"/>
      <c r="V16" s="22"/>
    </row>
    <row r="17" spans="2:22" x14ac:dyDescent="0.4">
      <c r="B17" s="4"/>
      <c r="C17" s="34"/>
      <c r="D17" s="6"/>
      <c r="E17" s="5"/>
      <c r="F17" s="4"/>
      <c r="G17" s="34"/>
      <c r="H17" s="6"/>
      <c r="I17" s="7"/>
      <c r="J17" s="39"/>
      <c r="K17" s="48"/>
      <c r="L17" s="7"/>
      <c r="M17" s="39"/>
      <c r="N17" s="40"/>
      <c r="P17" s="21" t="s">
        <v>29</v>
      </c>
      <c r="Q17" s="7"/>
      <c r="R17" s="7"/>
      <c r="S17" s="7"/>
      <c r="T17" s="7"/>
      <c r="U17" s="7"/>
      <c r="V17" s="22"/>
    </row>
    <row r="18" spans="2:22" x14ac:dyDescent="0.4">
      <c r="B18" s="4"/>
      <c r="C18" s="34"/>
      <c r="D18" s="6" t="s">
        <v>17</v>
      </c>
      <c r="E18" s="5"/>
      <c r="F18" s="4"/>
      <c r="G18" s="34"/>
      <c r="H18" s="6" t="s">
        <v>41</v>
      </c>
      <c r="I18" s="7"/>
      <c r="J18" s="49" t="s">
        <v>33</v>
      </c>
      <c r="K18" s="48">
        <f>COUNTIF(B4:D314, "牛お化け")</f>
        <v>4</v>
      </c>
      <c r="L18" s="7"/>
      <c r="M18" s="46" t="s">
        <v>10</v>
      </c>
      <c r="N18" s="40">
        <f>COUNTIF(F:H,"B")</f>
        <v>10</v>
      </c>
      <c r="P18" s="21" t="s">
        <v>30</v>
      </c>
      <c r="Q18" s="7"/>
      <c r="R18" s="7"/>
      <c r="S18" s="7"/>
      <c r="T18" s="7"/>
      <c r="U18" s="7"/>
      <c r="V18" s="22"/>
    </row>
    <row r="19" spans="2:22" ht="19.5" thickBot="1" x14ac:dyDescent="0.45">
      <c r="B19" s="4"/>
      <c r="C19" s="34"/>
      <c r="D19" s="6"/>
      <c r="E19" s="11"/>
      <c r="F19" s="4"/>
      <c r="G19" s="34"/>
      <c r="H19" s="6"/>
      <c r="J19" s="49"/>
      <c r="K19" s="48"/>
      <c r="M19" s="46"/>
      <c r="N19" s="40"/>
      <c r="P19" s="24" t="s">
        <v>31</v>
      </c>
      <c r="Q19" s="25"/>
      <c r="R19" s="25"/>
      <c r="S19" s="25"/>
      <c r="T19" s="25"/>
      <c r="U19" s="25"/>
      <c r="V19" s="26"/>
    </row>
    <row r="20" spans="2:22" x14ac:dyDescent="0.4">
      <c r="B20" s="4"/>
      <c r="C20" s="34"/>
      <c r="D20" s="6"/>
      <c r="E20" s="11"/>
      <c r="F20" s="4"/>
      <c r="G20" s="34"/>
      <c r="H20" s="6"/>
      <c r="J20" s="46" t="s">
        <v>35</v>
      </c>
      <c r="K20" s="48">
        <f>COUNTIF(B4:D316, "上タヌキ")</f>
        <v>12</v>
      </c>
      <c r="M20" s="45" t="s">
        <v>11</v>
      </c>
      <c r="N20" s="40">
        <f>COUNTIF(F:H,"X")</f>
        <v>7</v>
      </c>
    </row>
    <row r="21" spans="2:22" x14ac:dyDescent="0.4">
      <c r="B21" s="4" t="s">
        <v>6</v>
      </c>
      <c r="C21" s="34"/>
      <c r="D21" s="6" t="s">
        <v>6</v>
      </c>
      <c r="E21" s="11"/>
      <c r="F21" s="4" t="s">
        <v>16</v>
      </c>
      <c r="G21" s="34"/>
      <c r="H21" s="6" t="s">
        <v>40</v>
      </c>
      <c r="J21" s="46"/>
      <c r="K21" s="48"/>
      <c r="M21" s="45"/>
      <c r="N21" s="40"/>
    </row>
    <row r="22" spans="2:22" x14ac:dyDescent="0.4">
      <c r="B22" s="4" t="s">
        <v>6</v>
      </c>
      <c r="C22" s="7"/>
      <c r="D22" s="6" t="s">
        <v>6</v>
      </c>
      <c r="E22" s="11"/>
      <c r="F22" s="4" t="s">
        <v>39</v>
      </c>
      <c r="G22" s="34"/>
      <c r="H22" s="6" t="s">
        <v>41</v>
      </c>
      <c r="J22" s="45" t="s">
        <v>36</v>
      </c>
      <c r="K22" s="48">
        <f>COUNTIF(B4:D318, "デカタヌキ")</f>
        <v>3</v>
      </c>
      <c r="M22" s="43" t="s">
        <v>13</v>
      </c>
      <c r="N22" s="40">
        <f>COUNTIF(F:H, "Y")</f>
        <v>11</v>
      </c>
    </row>
    <row r="23" spans="2:22" ht="19.5" thickBot="1" x14ac:dyDescent="0.45">
      <c r="B23" s="4" t="s">
        <v>6</v>
      </c>
      <c r="C23" s="7"/>
      <c r="D23" s="6"/>
      <c r="E23" s="11"/>
      <c r="F23" s="4" t="s">
        <v>40</v>
      </c>
      <c r="G23" s="34"/>
      <c r="H23" s="6"/>
      <c r="J23" s="50"/>
      <c r="K23" s="54"/>
      <c r="M23" s="44"/>
      <c r="N23" s="41"/>
    </row>
    <row r="24" spans="2:22" x14ac:dyDescent="0.4">
      <c r="B24" s="4" t="s">
        <v>6</v>
      </c>
      <c r="C24" s="7"/>
      <c r="D24" s="6" t="s">
        <v>34</v>
      </c>
      <c r="E24" s="11"/>
      <c r="F24" s="4" t="s">
        <v>39</v>
      </c>
      <c r="G24" s="34"/>
      <c r="H24" s="6" t="s">
        <v>40</v>
      </c>
    </row>
    <row r="25" spans="2:22" x14ac:dyDescent="0.4">
      <c r="B25" s="4"/>
      <c r="C25" s="34"/>
      <c r="D25" s="6"/>
      <c r="E25" s="11"/>
      <c r="F25" s="4"/>
      <c r="G25" s="34"/>
      <c r="H25" s="6"/>
    </row>
    <row r="26" spans="2:22" x14ac:dyDescent="0.4">
      <c r="B26" s="4"/>
      <c r="C26" s="34"/>
      <c r="D26" s="6"/>
      <c r="E26" s="11"/>
      <c r="F26" s="4"/>
      <c r="G26" s="34"/>
      <c r="H26" s="6"/>
    </row>
    <row r="27" spans="2:22" x14ac:dyDescent="0.4">
      <c r="B27" s="4"/>
      <c r="C27" s="34"/>
      <c r="D27" s="6"/>
      <c r="E27" s="11"/>
      <c r="F27" s="4"/>
      <c r="G27" s="34"/>
      <c r="H27" s="6"/>
    </row>
    <row r="28" spans="2:22" x14ac:dyDescent="0.4">
      <c r="B28" s="4"/>
      <c r="C28" s="34"/>
      <c r="D28" s="6"/>
      <c r="E28" s="11"/>
      <c r="F28" s="4"/>
      <c r="G28" s="34"/>
      <c r="H28" s="6"/>
    </row>
    <row r="29" spans="2:22" x14ac:dyDescent="0.4">
      <c r="B29" s="4"/>
      <c r="C29" s="34"/>
      <c r="D29" s="6"/>
      <c r="E29" s="11"/>
      <c r="F29" s="4"/>
      <c r="G29" s="34"/>
      <c r="H29" s="6"/>
    </row>
    <row r="30" spans="2:22" x14ac:dyDescent="0.4">
      <c r="B30" s="4"/>
      <c r="C30" s="34"/>
      <c r="D30" s="6"/>
      <c r="E30" s="11"/>
      <c r="F30" s="4"/>
      <c r="G30" s="34"/>
      <c r="H30" s="6"/>
    </row>
    <row r="31" spans="2:22" x14ac:dyDescent="0.4">
      <c r="B31" s="4" t="s">
        <v>17</v>
      </c>
      <c r="C31" s="34"/>
      <c r="D31" s="6" t="s">
        <v>6</v>
      </c>
      <c r="E31" s="11"/>
      <c r="F31" s="4" t="s">
        <v>39</v>
      </c>
      <c r="G31" s="34"/>
      <c r="H31" s="6" t="s">
        <v>41</v>
      </c>
    </row>
    <row r="32" spans="2:22" x14ac:dyDescent="0.4">
      <c r="B32" s="4"/>
      <c r="C32" s="34"/>
      <c r="D32" s="6"/>
      <c r="E32" s="11"/>
      <c r="F32" s="4"/>
      <c r="G32" s="34"/>
      <c r="H32" s="6"/>
    </row>
    <row r="33" spans="2:8" x14ac:dyDescent="0.4">
      <c r="B33" s="4"/>
      <c r="C33" s="34"/>
      <c r="D33" s="6" t="s">
        <v>6</v>
      </c>
      <c r="E33" s="11"/>
      <c r="F33" s="4"/>
      <c r="G33" s="34"/>
      <c r="H33" s="6" t="s">
        <v>40</v>
      </c>
    </row>
    <row r="34" spans="2:8" x14ac:dyDescent="0.4">
      <c r="B34" s="4" t="s">
        <v>6</v>
      </c>
      <c r="C34" s="34"/>
      <c r="D34" s="55"/>
      <c r="E34" s="11"/>
      <c r="F34" s="4" t="s">
        <v>39</v>
      </c>
      <c r="G34" s="34"/>
      <c r="H34" s="6"/>
    </row>
    <row r="35" spans="2:8" x14ac:dyDescent="0.4">
      <c r="B35" s="4"/>
      <c r="C35" s="34"/>
      <c r="D35" s="6" t="s">
        <v>6</v>
      </c>
      <c r="E35" s="11"/>
      <c r="F35" s="4"/>
      <c r="G35" s="34"/>
      <c r="H35" s="6" t="s">
        <v>39</v>
      </c>
    </row>
    <row r="36" spans="2:8" x14ac:dyDescent="0.4">
      <c r="B36" s="4" t="s">
        <v>6</v>
      </c>
      <c r="C36" s="34"/>
      <c r="D36" s="6"/>
      <c r="E36" s="11"/>
      <c r="F36" s="4" t="s">
        <v>16</v>
      </c>
      <c r="G36" s="34"/>
      <c r="H36" s="6"/>
    </row>
    <row r="37" spans="2:8" x14ac:dyDescent="0.4">
      <c r="B37" s="4"/>
      <c r="C37" s="34"/>
      <c r="D37" s="6" t="s">
        <v>6</v>
      </c>
      <c r="E37" s="11"/>
      <c r="F37" s="4"/>
      <c r="G37" s="34"/>
      <c r="H37" s="6" t="s">
        <v>16</v>
      </c>
    </row>
    <row r="38" spans="2:8" x14ac:dyDescent="0.4">
      <c r="B38" s="4" t="s">
        <v>6</v>
      </c>
      <c r="C38" s="34" t="s">
        <v>34</v>
      </c>
      <c r="D38" s="6"/>
      <c r="E38" s="11"/>
      <c r="F38" s="4" t="s">
        <v>16</v>
      </c>
      <c r="G38" s="34" t="s">
        <v>40</v>
      </c>
      <c r="H38" s="6"/>
    </row>
    <row r="39" spans="2:8" x14ac:dyDescent="0.4">
      <c r="B39" s="4"/>
      <c r="C39" s="34"/>
      <c r="D39" s="6"/>
      <c r="E39" s="11"/>
      <c r="F39" s="4"/>
      <c r="G39" s="34"/>
      <c r="H39" s="6"/>
    </row>
    <row r="40" spans="2:8" x14ac:dyDescent="0.4">
      <c r="B40" s="4"/>
      <c r="C40" s="34"/>
      <c r="D40" s="6"/>
      <c r="E40" s="11"/>
      <c r="F40" s="4"/>
      <c r="G40" s="34"/>
      <c r="H40" s="6"/>
    </row>
    <row r="41" spans="2:8" x14ac:dyDescent="0.4">
      <c r="B41" s="4"/>
      <c r="C41" s="34"/>
      <c r="D41" s="6"/>
      <c r="E41" s="11"/>
      <c r="F41" s="4"/>
      <c r="G41" s="34"/>
      <c r="H41" s="6"/>
    </row>
    <row r="42" spans="2:8" x14ac:dyDescent="0.4">
      <c r="B42" s="4"/>
      <c r="C42" s="34"/>
      <c r="D42" s="6"/>
      <c r="E42" s="11"/>
      <c r="F42" s="4"/>
      <c r="G42" s="34"/>
      <c r="H42" s="6"/>
    </row>
    <row r="43" spans="2:8" x14ac:dyDescent="0.4">
      <c r="B43" s="4"/>
      <c r="C43" s="34"/>
      <c r="D43" s="6"/>
      <c r="E43" s="11"/>
      <c r="F43" s="4"/>
      <c r="G43" s="34"/>
      <c r="H43" s="6"/>
    </row>
    <row r="44" spans="2:8" x14ac:dyDescent="0.4">
      <c r="B44" s="4"/>
      <c r="C44" s="34"/>
      <c r="D44" s="6"/>
      <c r="E44" s="11"/>
      <c r="F44" s="4"/>
      <c r="G44" s="34"/>
      <c r="H44" s="6"/>
    </row>
    <row r="45" spans="2:8" x14ac:dyDescent="0.4">
      <c r="B45" s="4"/>
      <c r="C45" s="34"/>
      <c r="D45" s="6"/>
      <c r="E45" s="11"/>
      <c r="F45" s="4"/>
      <c r="G45" s="34"/>
      <c r="H45" s="6"/>
    </row>
    <row r="46" spans="2:8" x14ac:dyDescent="0.4">
      <c r="B46" s="4"/>
      <c r="C46" s="34"/>
      <c r="D46" s="6"/>
      <c r="E46" s="11"/>
      <c r="F46" s="4"/>
      <c r="G46" s="34"/>
      <c r="H46" s="6"/>
    </row>
    <row r="47" spans="2:8" x14ac:dyDescent="0.4">
      <c r="B47" s="4"/>
      <c r="C47" s="34"/>
      <c r="D47" s="6"/>
      <c r="E47" s="11"/>
      <c r="F47" s="4"/>
      <c r="G47" s="34"/>
      <c r="H47" s="6"/>
    </row>
    <row r="48" spans="2:8" x14ac:dyDescent="0.4">
      <c r="B48" s="4"/>
      <c r="C48" s="34"/>
      <c r="D48" s="6"/>
      <c r="E48" s="11"/>
      <c r="F48" s="4"/>
      <c r="G48" s="34"/>
      <c r="H48" s="6"/>
    </row>
    <row r="49" spans="2:8" x14ac:dyDescent="0.4">
      <c r="B49" s="4"/>
      <c r="C49" s="34"/>
      <c r="D49" s="6"/>
      <c r="E49" s="11"/>
      <c r="F49" s="4"/>
      <c r="G49" s="34"/>
      <c r="H49" s="6"/>
    </row>
    <row r="50" spans="2:8" x14ac:dyDescent="0.4">
      <c r="B50" s="4"/>
      <c r="C50" s="34"/>
      <c r="D50" s="6"/>
      <c r="E50" s="11"/>
      <c r="F50" s="4"/>
      <c r="G50" s="34"/>
      <c r="H50" s="6"/>
    </row>
    <row r="51" spans="2:8" x14ac:dyDescent="0.4">
      <c r="B51" s="4"/>
      <c r="C51" s="34"/>
      <c r="D51" s="6"/>
      <c r="E51" s="11"/>
      <c r="F51" s="4"/>
      <c r="G51" s="34"/>
      <c r="H51" s="6"/>
    </row>
    <row r="52" spans="2:8" x14ac:dyDescent="0.4">
      <c r="B52" s="4"/>
      <c r="C52" s="34"/>
      <c r="D52" s="6"/>
      <c r="E52" s="11"/>
      <c r="F52" s="4"/>
      <c r="G52" s="34"/>
      <c r="H52" s="6"/>
    </row>
    <row r="53" spans="2:8" x14ac:dyDescent="0.4">
      <c r="B53" s="4"/>
      <c r="C53" s="34"/>
      <c r="D53" s="6"/>
      <c r="E53" s="11"/>
      <c r="F53" s="4"/>
      <c r="G53" s="34"/>
      <c r="H53" s="6"/>
    </row>
    <row r="54" spans="2:8" x14ac:dyDescent="0.4">
      <c r="B54" s="4"/>
      <c r="C54" s="34"/>
      <c r="D54" s="6"/>
      <c r="E54" s="11"/>
      <c r="F54" s="4"/>
      <c r="G54" s="34"/>
      <c r="H54" s="6"/>
    </row>
    <row r="55" spans="2:8" x14ac:dyDescent="0.4">
      <c r="B55" s="4"/>
      <c r="C55" s="34"/>
      <c r="D55" s="6"/>
      <c r="E55" s="11"/>
      <c r="F55" s="4"/>
      <c r="G55" s="34"/>
      <c r="H55" s="6"/>
    </row>
    <row r="56" spans="2:8" x14ac:dyDescent="0.4">
      <c r="B56" s="4"/>
      <c r="C56" s="34"/>
      <c r="D56" s="6"/>
      <c r="E56" s="11"/>
      <c r="F56" s="4"/>
      <c r="G56" s="34"/>
      <c r="H56" s="6"/>
    </row>
    <row r="57" spans="2:8" x14ac:dyDescent="0.4">
      <c r="B57" s="4" t="s">
        <v>34</v>
      </c>
      <c r="C57" s="34" t="s">
        <v>34</v>
      </c>
      <c r="D57" s="6" t="s">
        <v>34</v>
      </c>
      <c r="E57" s="11"/>
      <c r="F57" s="4" t="s">
        <v>41</v>
      </c>
      <c r="G57" s="34" t="s">
        <v>41</v>
      </c>
      <c r="H57" s="6" t="s">
        <v>41</v>
      </c>
    </row>
    <row r="58" spans="2:8" x14ac:dyDescent="0.4">
      <c r="B58" s="4"/>
      <c r="C58" s="34"/>
      <c r="D58" s="6"/>
      <c r="E58" s="11"/>
      <c r="F58" s="4"/>
      <c r="G58" s="34"/>
      <c r="H58" s="6"/>
    </row>
    <row r="59" spans="2:8" x14ac:dyDescent="0.4">
      <c r="B59" s="4"/>
      <c r="C59" s="34"/>
      <c r="D59" s="6"/>
      <c r="E59" s="11"/>
      <c r="F59" s="4"/>
      <c r="G59" s="34"/>
      <c r="H59" s="6"/>
    </row>
    <row r="60" spans="2:8" x14ac:dyDescent="0.4">
      <c r="B60" s="4"/>
      <c r="C60" s="34"/>
      <c r="D60" s="6"/>
      <c r="E60" s="11"/>
      <c r="F60" s="4"/>
      <c r="G60" s="34"/>
      <c r="H60" s="6"/>
    </row>
    <row r="61" spans="2:8" x14ac:dyDescent="0.4">
      <c r="B61" s="4"/>
      <c r="C61" s="34"/>
      <c r="D61" s="6"/>
      <c r="E61" s="11"/>
      <c r="F61" s="4"/>
      <c r="G61" s="34"/>
      <c r="H61" s="6"/>
    </row>
    <row r="62" spans="2:8" x14ac:dyDescent="0.4">
      <c r="B62" s="4"/>
      <c r="C62" s="34"/>
      <c r="D62" s="6"/>
      <c r="E62" s="11"/>
      <c r="F62" s="4"/>
      <c r="G62" s="34"/>
      <c r="H62" s="6"/>
    </row>
    <row r="63" spans="2:8" x14ac:dyDescent="0.4">
      <c r="B63" s="4"/>
      <c r="C63" s="34"/>
      <c r="D63" s="6"/>
      <c r="E63" s="11"/>
      <c r="F63" s="4"/>
      <c r="G63" s="34"/>
      <c r="H63" s="6"/>
    </row>
    <row r="64" spans="2:8" x14ac:dyDescent="0.4">
      <c r="B64" s="4"/>
      <c r="C64" s="34"/>
      <c r="D64" s="6"/>
      <c r="E64" s="11"/>
      <c r="F64" s="4"/>
      <c r="G64" s="34"/>
      <c r="H64" s="6"/>
    </row>
    <row r="65" spans="2:8" x14ac:dyDescent="0.4">
      <c r="B65" s="4"/>
      <c r="C65" s="34"/>
      <c r="D65" s="6"/>
      <c r="E65" s="11"/>
      <c r="F65" s="4"/>
      <c r="G65" s="34"/>
      <c r="H65" s="6"/>
    </row>
    <row r="66" spans="2:8" x14ac:dyDescent="0.4">
      <c r="B66" s="4" t="s">
        <v>34</v>
      </c>
      <c r="C66" s="34" t="s">
        <v>34</v>
      </c>
      <c r="D66" s="6" t="s">
        <v>34</v>
      </c>
      <c r="E66" s="11"/>
      <c r="F66" s="4" t="s">
        <v>39</v>
      </c>
      <c r="G66" s="34" t="s">
        <v>39</v>
      </c>
      <c r="H66" s="6" t="s">
        <v>39</v>
      </c>
    </row>
    <row r="67" spans="2:8" x14ac:dyDescent="0.4">
      <c r="B67" s="4"/>
      <c r="C67" s="34"/>
      <c r="D67" s="6"/>
      <c r="E67" s="11"/>
      <c r="F67" s="4"/>
      <c r="G67" s="34"/>
      <c r="H67" s="6"/>
    </row>
    <row r="68" spans="2:8" x14ac:dyDescent="0.4">
      <c r="B68" s="4"/>
      <c r="C68" s="34"/>
      <c r="D68" s="6"/>
      <c r="E68" s="11"/>
      <c r="F68" s="4"/>
      <c r="G68" s="34"/>
      <c r="H68" s="6"/>
    </row>
    <row r="69" spans="2:8" x14ac:dyDescent="0.4">
      <c r="B69" s="4"/>
      <c r="C69" s="34"/>
      <c r="D69" s="6"/>
      <c r="E69" s="11"/>
      <c r="F69" s="4"/>
      <c r="G69" s="34"/>
      <c r="H69" s="6"/>
    </row>
    <row r="70" spans="2:8" x14ac:dyDescent="0.4">
      <c r="B70" s="4"/>
      <c r="C70" s="34"/>
      <c r="D70" s="6"/>
      <c r="E70" s="11"/>
      <c r="F70" s="4"/>
      <c r="G70" s="34"/>
      <c r="H70" s="6"/>
    </row>
    <row r="71" spans="2:8" x14ac:dyDescent="0.4">
      <c r="B71" s="4"/>
      <c r="C71" s="34"/>
      <c r="D71" s="6"/>
      <c r="E71" s="11"/>
      <c r="F71" s="4"/>
      <c r="G71" s="34"/>
      <c r="H71" s="6"/>
    </row>
    <row r="72" spans="2:8" x14ac:dyDescent="0.4">
      <c r="B72" s="4"/>
      <c r="C72" s="34"/>
      <c r="D72" s="6"/>
      <c r="E72" s="11"/>
      <c r="F72" s="4"/>
      <c r="G72" s="34"/>
      <c r="H72" s="6"/>
    </row>
    <row r="73" spans="2:8" x14ac:dyDescent="0.4">
      <c r="B73" s="4"/>
      <c r="C73" s="34"/>
      <c r="D73" s="6"/>
      <c r="E73" s="11"/>
      <c r="F73" s="4"/>
      <c r="G73" s="34"/>
      <c r="H73" s="6"/>
    </row>
    <row r="74" spans="2:8" x14ac:dyDescent="0.4">
      <c r="B74" s="4"/>
      <c r="C74" s="34"/>
      <c r="D74" s="6"/>
      <c r="E74" s="11"/>
      <c r="F74" s="4"/>
      <c r="G74" s="34"/>
      <c r="H74" s="6"/>
    </row>
    <row r="75" spans="2:8" x14ac:dyDescent="0.4">
      <c r="B75" s="4"/>
      <c r="C75" s="34"/>
      <c r="D75" s="6"/>
      <c r="E75" s="11"/>
      <c r="F75" s="4"/>
      <c r="G75" s="34"/>
      <c r="H75" s="6"/>
    </row>
    <row r="76" spans="2:8" x14ac:dyDescent="0.4">
      <c r="B76" s="4" t="s">
        <v>34</v>
      </c>
      <c r="C76" s="34" t="s">
        <v>34</v>
      </c>
      <c r="D76" s="6" t="s">
        <v>34</v>
      </c>
      <c r="E76" s="11"/>
      <c r="F76" s="4" t="s">
        <v>16</v>
      </c>
      <c r="G76" s="34" t="s">
        <v>16</v>
      </c>
      <c r="H76" s="6" t="s">
        <v>16</v>
      </c>
    </row>
    <row r="77" spans="2:8" x14ac:dyDescent="0.4">
      <c r="B77" s="4"/>
      <c r="C77" s="34"/>
      <c r="D77" s="6"/>
      <c r="E77" s="11"/>
      <c r="F77" s="4"/>
      <c r="G77" s="34"/>
      <c r="H77" s="6"/>
    </row>
    <row r="78" spans="2:8" x14ac:dyDescent="0.4">
      <c r="B78" s="4"/>
      <c r="C78" s="34"/>
      <c r="D78" s="6"/>
      <c r="E78" s="11"/>
      <c r="F78" s="4"/>
      <c r="G78" s="34"/>
      <c r="H78" s="6"/>
    </row>
    <row r="79" spans="2:8" x14ac:dyDescent="0.4">
      <c r="B79" s="4"/>
      <c r="C79" s="34"/>
      <c r="D79" s="6"/>
      <c r="E79" s="11"/>
      <c r="F79" s="4"/>
      <c r="G79" s="34"/>
      <c r="H79" s="6"/>
    </row>
    <row r="80" spans="2:8" x14ac:dyDescent="0.4">
      <c r="B80" s="4"/>
      <c r="C80" s="34"/>
      <c r="D80" s="6"/>
      <c r="E80" s="11"/>
      <c r="F80" s="4"/>
      <c r="G80" s="34"/>
      <c r="H80" s="6"/>
    </row>
    <row r="81" spans="2:8" x14ac:dyDescent="0.4">
      <c r="B81" s="4"/>
      <c r="C81" s="34"/>
      <c r="D81" s="6"/>
      <c r="E81" s="11"/>
      <c r="F81" s="4"/>
      <c r="G81" s="34"/>
      <c r="H81" s="6"/>
    </row>
    <row r="82" spans="2:8" x14ac:dyDescent="0.4">
      <c r="B82" s="4"/>
      <c r="C82" s="34"/>
      <c r="D82" s="6"/>
      <c r="E82" s="11"/>
      <c r="F82" s="4"/>
      <c r="G82" s="34"/>
      <c r="H82" s="6"/>
    </row>
    <row r="83" spans="2:8" x14ac:dyDescent="0.4">
      <c r="B83" s="4"/>
      <c r="C83" s="34"/>
      <c r="D83" s="6"/>
      <c r="E83" s="11"/>
      <c r="F83" s="4"/>
      <c r="G83" s="34"/>
      <c r="H83" s="6"/>
    </row>
    <row r="84" spans="2:8" x14ac:dyDescent="0.4">
      <c r="B84" s="4"/>
      <c r="C84" s="34"/>
      <c r="D84" s="6"/>
      <c r="E84" s="11"/>
      <c r="F84" s="4"/>
      <c r="G84" s="34"/>
      <c r="H84" s="6"/>
    </row>
    <row r="85" spans="2:8" x14ac:dyDescent="0.4">
      <c r="B85" s="4"/>
      <c r="C85" s="34"/>
      <c r="D85" s="6"/>
      <c r="E85" s="11"/>
      <c r="F85" s="4"/>
      <c r="G85" s="34"/>
      <c r="H85" s="6"/>
    </row>
    <row r="86" spans="2:8" x14ac:dyDescent="0.4">
      <c r="B86" s="4"/>
      <c r="C86" s="34"/>
      <c r="D86" s="6"/>
      <c r="E86" s="11"/>
      <c r="F86" s="4"/>
      <c r="G86" s="34"/>
      <c r="H86" s="6"/>
    </row>
    <row r="87" spans="2:8" x14ac:dyDescent="0.4">
      <c r="B87" s="4"/>
      <c r="C87" s="34"/>
      <c r="D87" s="6"/>
      <c r="E87" s="11"/>
      <c r="F87" s="4"/>
      <c r="G87" s="34"/>
      <c r="H87" s="6"/>
    </row>
    <row r="88" spans="2:8" x14ac:dyDescent="0.4">
      <c r="B88" s="4"/>
      <c r="C88" s="34"/>
      <c r="D88" s="6"/>
      <c r="E88" s="11"/>
      <c r="F88" s="4"/>
      <c r="G88" s="34"/>
      <c r="H88" s="6"/>
    </row>
    <row r="89" spans="2:8" x14ac:dyDescent="0.4">
      <c r="B89" s="13" t="s">
        <v>2</v>
      </c>
      <c r="C89" s="14" t="s">
        <v>2</v>
      </c>
      <c r="D89" s="15" t="s">
        <v>2</v>
      </c>
      <c r="E89" s="11"/>
      <c r="F89" s="13" t="s">
        <v>2</v>
      </c>
      <c r="G89" s="14" t="s">
        <v>2</v>
      </c>
      <c r="H89" s="15" t="s">
        <v>2</v>
      </c>
    </row>
    <row r="90" spans="2:8" x14ac:dyDescent="0.4">
      <c r="B90" s="5"/>
      <c r="C90" s="5"/>
      <c r="D90" s="5"/>
      <c r="E90" s="11"/>
      <c r="F90" s="5"/>
      <c r="G90" s="5"/>
      <c r="H90" s="5"/>
    </row>
    <row r="91" spans="2:8" x14ac:dyDescent="0.4">
      <c r="B91" s="5"/>
      <c r="C91" s="5"/>
      <c r="D91" s="5"/>
      <c r="E91" s="11"/>
      <c r="F91" s="5"/>
      <c r="G91" s="5"/>
      <c r="H91" s="5"/>
    </row>
    <row r="92" spans="2:8" x14ac:dyDescent="0.4">
      <c r="B92" s="7"/>
      <c r="C92" s="7"/>
      <c r="D92" s="7"/>
      <c r="F92" s="7"/>
      <c r="G92" s="7"/>
      <c r="H92" s="7"/>
    </row>
    <row r="93" spans="2:8" x14ac:dyDescent="0.4">
      <c r="B93" s="7"/>
      <c r="C93" s="7"/>
      <c r="D93" s="7"/>
      <c r="F93" s="7"/>
      <c r="G93" s="7"/>
      <c r="H93" s="7"/>
    </row>
    <row r="94" spans="2:8" x14ac:dyDescent="0.4">
      <c r="B94" s="7"/>
      <c r="C94" s="7"/>
      <c r="D94" s="7"/>
      <c r="F94" s="7"/>
      <c r="G94" s="7"/>
      <c r="H94" s="7"/>
    </row>
    <row r="95" spans="2:8" x14ac:dyDescent="0.4">
      <c r="B95" s="7"/>
      <c r="C95" s="7"/>
      <c r="D95" s="7"/>
      <c r="F95" s="7"/>
      <c r="G95" s="7"/>
      <c r="H95" s="7"/>
    </row>
    <row r="96" spans="2:8" x14ac:dyDescent="0.4">
      <c r="B96" s="7"/>
      <c r="C96" s="7"/>
      <c r="D96" s="7"/>
      <c r="F96" s="7"/>
      <c r="G96" s="7"/>
      <c r="H96" s="7"/>
    </row>
    <row r="97" spans="2:8" x14ac:dyDescent="0.4">
      <c r="B97" s="7"/>
      <c r="C97" s="7"/>
      <c r="D97" s="7"/>
      <c r="F97" s="7"/>
      <c r="G97" s="7"/>
      <c r="H97" s="7"/>
    </row>
    <row r="98" spans="2:8" x14ac:dyDescent="0.4">
      <c r="B98" s="7"/>
      <c r="C98" s="7"/>
      <c r="D98" s="7"/>
      <c r="F98" s="7"/>
      <c r="G98" s="7"/>
      <c r="H98" s="7"/>
    </row>
    <row r="99" spans="2:8" x14ac:dyDescent="0.4">
      <c r="B99" s="7"/>
      <c r="C99" s="7"/>
      <c r="D99" s="7"/>
      <c r="F99" s="7"/>
      <c r="G99" s="7"/>
      <c r="H99" s="7"/>
    </row>
    <row r="100" spans="2:8" x14ac:dyDescent="0.4">
      <c r="B100" s="7"/>
      <c r="C100" s="7"/>
      <c r="D100" s="7"/>
      <c r="F100" s="7"/>
      <c r="G100" s="7"/>
      <c r="H100" s="7"/>
    </row>
    <row r="101" spans="2:8" x14ac:dyDescent="0.4">
      <c r="B101" s="7"/>
      <c r="C101" s="7"/>
      <c r="D101" s="7"/>
      <c r="F101" s="7"/>
      <c r="G101" s="7"/>
      <c r="H101" s="7"/>
    </row>
    <row r="102" spans="2:8" x14ac:dyDescent="0.4">
      <c r="B102" s="7"/>
      <c r="C102" s="7"/>
      <c r="D102" s="7"/>
      <c r="F102" s="7"/>
      <c r="G102" s="7"/>
      <c r="H102" s="7"/>
    </row>
    <row r="103" spans="2:8" x14ac:dyDescent="0.4">
      <c r="B103" s="7"/>
      <c r="C103" s="7"/>
      <c r="D103" s="7"/>
      <c r="F103" s="7"/>
      <c r="G103" s="7"/>
      <c r="H103" s="7"/>
    </row>
    <row r="104" spans="2:8" x14ac:dyDescent="0.4">
      <c r="B104" s="7"/>
      <c r="C104" s="7"/>
      <c r="D104" s="7"/>
      <c r="F104" s="7"/>
      <c r="G104" s="7"/>
      <c r="H104" s="7"/>
    </row>
    <row r="105" spans="2:8" x14ac:dyDescent="0.4">
      <c r="B105" s="7"/>
      <c r="C105" s="7"/>
      <c r="D105" s="7"/>
      <c r="F105" s="7"/>
      <c r="G105" s="7"/>
      <c r="H105" s="7"/>
    </row>
    <row r="106" spans="2:8" x14ac:dyDescent="0.4">
      <c r="B106" s="7"/>
      <c r="C106" s="7"/>
      <c r="D106" s="7"/>
      <c r="F106" s="7"/>
      <c r="G106" s="7"/>
      <c r="H106" s="7"/>
    </row>
    <row r="107" spans="2:8" x14ac:dyDescent="0.4">
      <c r="B107" s="7"/>
      <c r="C107" s="7"/>
      <c r="D107" s="7"/>
      <c r="F107" s="7"/>
      <c r="G107" s="7"/>
      <c r="H107" s="7"/>
    </row>
    <row r="108" spans="2:8" x14ac:dyDescent="0.4">
      <c r="B108" s="7"/>
      <c r="C108" s="7"/>
      <c r="D108" s="7"/>
      <c r="F108" s="7"/>
      <c r="G108" s="7"/>
      <c r="H108" s="7"/>
    </row>
    <row r="109" spans="2:8" x14ac:dyDescent="0.4">
      <c r="B109" s="7"/>
      <c r="C109" s="7"/>
      <c r="D109" s="7"/>
      <c r="F109" s="7"/>
      <c r="G109" s="7"/>
      <c r="H109" s="7"/>
    </row>
    <row r="110" spans="2:8" x14ac:dyDescent="0.4">
      <c r="B110" s="7"/>
      <c r="C110" s="7"/>
      <c r="D110" s="7"/>
      <c r="F110" s="7"/>
      <c r="G110" s="7"/>
      <c r="H110" s="7"/>
    </row>
    <row r="111" spans="2:8" x14ac:dyDescent="0.4">
      <c r="B111" s="7"/>
      <c r="C111" s="7"/>
      <c r="D111" s="7"/>
      <c r="F111" s="7"/>
      <c r="G111" s="7"/>
      <c r="H111" s="7"/>
    </row>
    <row r="112" spans="2:8" x14ac:dyDescent="0.4">
      <c r="B112" s="7"/>
      <c r="C112" s="7"/>
      <c r="D112" s="7"/>
      <c r="F112" s="7"/>
      <c r="G112" s="7"/>
      <c r="H112" s="7"/>
    </row>
    <row r="113" spans="2:8" x14ac:dyDescent="0.4">
      <c r="B113" s="7"/>
      <c r="C113" s="7"/>
      <c r="D113" s="7"/>
      <c r="F113" s="7"/>
      <c r="G113" s="7"/>
      <c r="H113" s="7"/>
    </row>
    <row r="114" spans="2:8" x14ac:dyDescent="0.4">
      <c r="B114" s="7"/>
      <c r="C114" s="7"/>
      <c r="D114" s="7"/>
      <c r="F114" s="7"/>
      <c r="G114" s="7"/>
      <c r="H114" s="7"/>
    </row>
    <row r="115" spans="2:8" x14ac:dyDescent="0.4">
      <c r="B115" s="7"/>
      <c r="C115" s="7"/>
      <c r="D115" s="7"/>
      <c r="F115" s="7"/>
      <c r="G115" s="7"/>
      <c r="H115" s="7"/>
    </row>
    <row r="116" spans="2:8" x14ac:dyDescent="0.4">
      <c r="B116" s="7"/>
      <c r="C116" s="7"/>
      <c r="D116" s="7"/>
      <c r="F116" s="7"/>
      <c r="G116" s="7"/>
      <c r="H116" s="7"/>
    </row>
    <row r="117" spans="2:8" x14ac:dyDescent="0.4">
      <c r="B117" s="7"/>
      <c r="C117" s="7"/>
      <c r="D117" s="7"/>
      <c r="F117" s="7"/>
      <c r="G117" s="7"/>
      <c r="H117" s="7"/>
    </row>
    <row r="118" spans="2:8" x14ac:dyDescent="0.4">
      <c r="B118" s="7"/>
      <c r="C118" s="7"/>
      <c r="D118" s="7"/>
      <c r="F118" s="7"/>
      <c r="G118" s="7"/>
      <c r="H118" s="7"/>
    </row>
    <row r="119" spans="2:8" x14ac:dyDescent="0.4">
      <c r="B119" s="7"/>
      <c r="C119" s="7"/>
      <c r="D119" s="7"/>
      <c r="F119" s="7"/>
      <c r="G119" s="7"/>
      <c r="H119" s="7"/>
    </row>
    <row r="120" spans="2:8" x14ac:dyDescent="0.4">
      <c r="B120" s="7"/>
      <c r="C120" s="7"/>
      <c r="D120" s="7"/>
      <c r="F120" s="7"/>
      <c r="G120" s="7"/>
      <c r="H120" s="7"/>
    </row>
    <row r="121" spans="2:8" x14ac:dyDescent="0.4">
      <c r="B121" s="7"/>
      <c r="C121" s="7"/>
      <c r="D121" s="7"/>
      <c r="F121" s="7"/>
      <c r="G121" s="7"/>
      <c r="H121" s="7"/>
    </row>
    <row r="122" spans="2:8" x14ac:dyDescent="0.4">
      <c r="B122" s="7"/>
      <c r="C122" s="7"/>
      <c r="D122" s="7"/>
      <c r="F122" s="7"/>
      <c r="G122" s="7"/>
      <c r="H122" s="7"/>
    </row>
    <row r="123" spans="2:8" x14ac:dyDescent="0.4">
      <c r="B123" s="7"/>
      <c r="C123" s="7"/>
      <c r="D123" s="7"/>
      <c r="F123" s="7"/>
      <c r="G123" s="7"/>
      <c r="H123" s="7"/>
    </row>
    <row r="124" spans="2:8" x14ac:dyDescent="0.4">
      <c r="B124" s="7"/>
      <c r="C124" s="7"/>
      <c r="D124" s="7"/>
      <c r="F124" s="7"/>
      <c r="G124" s="7"/>
      <c r="H124" s="7"/>
    </row>
    <row r="125" spans="2:8" x14ac:dyDescent="0.4">
      <c r="B125" s="7"/>
      <c r="C125" s="7"/>
      <c r="D125" s="7"/>
      <c r="F125" s="7"/>
      <c r="G125" s="7"/>
      <c r="H125" s="7"/>
    </row>
    <row r="126" spans="2:8" x14ac:dyDescent="0.4">
      <c r="B126" s="7"/>
      <c r="C126" s="7"/>
      <c r="D126" s="7"/>
      <c r="F126" s="7"/>
      <c r="G126" s="7"/>
      <c r="H126" s="7"/>
    </row>
    <row r="127" spans="2:8" x14ac:dyDescent="0.4">
      <c r="B127" s="7"/>
      <c r="C127" s="7"/>
      <c r="D127" s="7"/>
      <c r="F127" s="7"/>
      <c r="G127" s="7"/>
      <c r="H127" s="7"/>
    </row>
    <row r="128" spans="2:8" x14ac:dyDescent="0.4">
      <c r="B128" s="7"/>
      <c r="C128" s="7"/>
      <c r="D128" s="7"/>
      <c r="F128" s="7"/>
      <c r="G128" s="7"/>
      <c r="H128" s="7"/>
    </row>
    <row r="129" spans="2:8" x14ac:dyDescent="0.4">
      <c r="B129" s="7"/>
      <c r="C129" s="7"/>
      <c r="D129" s="7"/>
      <c r="F129" s="7"/>
      <c r="G129" s="7"/>
      <c r="H129" s="7"/>
    </row>
    <row r="130" spans="2:8" x14ac:dyDescent="0.4">
      <c r="B130" s="7"/>
      <c r="C130" s="7"/>
      <c r="D130" s="7"/>
      <c r="F130" s="7"/>
      <c r="G130" s="7"/>
      <c r="H130" s="7"/>
    </row>
    <row r="131" spans="2:8" x14ac:dyDescent="0.4">
      <c r="B131" s="7"/>
      <c r="C131" s="7"/>
      <c r="D131" s="7"/>
      <c r="F131" s="7"/>
      <c r="G131" s="7"/>
      <c r="H131" s="7"/>
    </row>
    <row r="132" spans="2:8" x14ac:dyDescent="0.4">
      <c r="B132" s="7"/>
      <c r="C132" s="7"/>
      <c r="D132" s="7"/>
      <c r="F132" s="7"/>
      <c r="G132" s="7"/>
      <c r="H132" s="7"/>
    </row>
    <row r="133" spans="2:8" x14ac:dyDescent="0.4">
      <c r="B133" s="7"/>
      <c r="C133" s="7"/>
      <c r="D133" s="7"/>
      <c r="F133" s="7"/>
      <c r="G133" s="7"/>
      <c r="H133" s="7"/>
    </row>
    <row r="134" spans="2:8" x14ac:dyDescent="0.4">
      <c r="B134" s="7"/>
      <c r="C134" s="7"/>
      <c r="D134" s="7"/>
      <c r="F134" s="7"/>
      <c r="G134" s="7"/>
      <c r="H134" s="7"/>
    </row>
    <row r="135" spans="2:8" x14ac:dyDescent="0.4">
      <c r="B135" s="7"/>
      <c r="C135" s="7"/>
      <c r="D135" s="7"/>
      <c r="F135" s="7"/>
      <c r="G135" s="7"/>
      <c r="H135" s="7"/>
    </row>
    <row r="136" spans="2:8" x14ac:dyDescent="0.4">
      <c r="B136" s="7"/>
      <c r="C136" s="7"/>
      <c r="D136" s="7"/>
      <c r="F136" s="7"/>
      <c r="G136" s="7"/>
      <c r="H136" s="7"/>
    </row>
    <row r="137" spans="2:8" x14ac:dyDescent="0.4">
      <c r="B137" s="7"/>
      <c r="C137" s="7"/>
      <c r="D137" s="7"/>
      <c r="F137" s="7"/>
      <c r="G137" s="7"/>
      <c r="H137" s="7"/>
    </row>
    <row r="138" spans="2:8" x14ac:dyDescent="0.4">
      <c r="B138" s="7"/>
      <c r="C138" s="7"/>
      <c r="D138" s="7"/>
      <c r="F138" s="7"/>
      <c r="G138" s="7"/>
      <c r="H138" s="7"/>
    </row>
    <row r="139" spans="2:8" x14ac:dyDescent="0.4">
      <c r="B139" s="7"/>
      <c r="C139" s="7"/>
      <c r="D139" s="7"/>
      <c r="F139" s="7"/>
      <c r="G139" s="7"/>
      <c r="H139" s="7"/>
    </row>
    <row r="140" spans="2:8" x14ac:dyDescent="0.4">
      <c r="B140" s="7"/>
      <c r="C140" s="7"/>
      <c r="D140" s="7"/>
      <c r="F140" s="7"/>
      <c r="G140" s="7"/>
      <c r="H140" s="7"/>
    </row>
    <row r="141" spans="2:8" x14ac:dyDescent="0.4">
      <c r="B141" s="7"/>
      <c r="C141" s="7"/>
      <c r="D141" s="7"/>
      <c r="F141" s="7"/>
      <c r="G141" s="7"/>
      <c r="H141" s="7"/>
    </row>
    <row r="142" spans="2:8" x14ac:dyDescent="0.4">
      <c r="B142" s="7"/>
      <c r="C142" s="7"/>
      <c r="D142" s="7"/>
      <c r="F142" s="7"/>
      <c r="G142" s="7"/>
      <c r="H142" s="7"/>
    </row>
    <row r="143" spans="2:8" x14ac:dyDescent="0.4">
      <c r="B143" s="7"/>
      <c r="C143" s="7"/>
      <c r="D143" s="7"/>
      <c r="F143" s="7"/>
      <c r="G143" s="7"/>
      <c r="H143" s="7"/>
    </row>
    <row r="144" spans="2:8" x14ac:dyDescent="0.4">
      <c r="B144" s="7"/>
      <c r="C144" s="7"/>
      <c r="D144" s="7"/>
      <c r="F144" s="7"/>
      <c r="G144" s="7"/>
      <c r="H144" s="7"/>
    </row>
    <row r="145" spans="2:8" x14ac:dyDescent="0.4">
      <c r="B145" s="7"/>
      <c r="C145" s="7"/>
      <c r="D145" s="7"/>
      <c r="F145" s="7"/>
      <c r="G145" s="7"/>
      <c r="H145" s="7"/>
    </row>
    <row r="146" spans="2:8" x14ac:dyDescent="0.4">
      <c r="B146" s="7"/>
      <c r="C146" s="7"/>
      <c r="D146" s="7"/>
      <c r="F146" s="7"/>
      <c r="G146" s="7"/>
      <c r="H146" s="7"/>
    </row>
    <row r="147" spans="2:8" x14ac:dyDescent="0.4">
      <c r="B147" s="7"/>
      <c r="C147" s="7"/>
      <c r="D147" s="7"/>
      <c r="F147" s="7"/>
      <c r="G147" s="7"/>
      <c r="H147" s="7"/>
    </row>
    <row r="148" spans="2:8" x14ac:dyDescent="0.4">
      <c r="B148" s="7"/>
      <c r="C148" s="7"/>
      <c r="D148" s="7"/>
      <c r="F148" s="7"/>
      <c r="G148" s="7"/>
      <c r="H148" s="7"/>
    </row>
    <row r="149" spans="2:8" x14ac:dyDescent="0.4">
      <c r="B149" s="7"/>
      <c r="C149" s="7"/>
      <c r="D149" s="7"/>
      <c r="F149" s="7"/>
      <c r="G149" s="7"/>
      <c r="H149" s="7"/>
    </row>
    <row r="150" spans="2:8" x14ac:dyDescent="0.4">
      <c r="B150" s="7"/>
      <c r="C150" s="7"/>
      <c r="D150" s="7"/>
      <c r="F150" s="7"/>
      <c r="G150" s="7"/>
      <c r="H150" s="7"/>
    </row>
    <row r="151" spans="2:8" x14ac:dyDescent="0.4">
      <c r="B151" s="7"/>
      <c r="C151" s="7"/>
      <c r="D151" s="7"/>
      <c r="F151" s="7"/>
      <c r="G151" s="7"/>
      <c r="H151" s="7"/>
    </row>
    <row r="152" spans="2:8" x14ac:dyDescent="0.4">
      <c r="B152" s="7"/>
      <c r="C152" s="7"/>
      <c r="D152" s="7"/>
      <c r="F152" s="7"/>
      <c r="G152" s="7"/>
      <c r="H152" s="7"/>
    </row>
    <row r="153" spans="2:8" x14ac:dyDescent="0.4">
      <c r="B153" s="7"/>
      <c r="C153" s="7"/>
      <c r="D153" s="7"/>
      <c r="F153" s="7"/>
      <c r="G153" s="7"/>
      <c r="H153" s="7"/>
    </row>
    <row r="154" spans="2:8" x14ac:dyDescent="0.4">
      <c r="B154" s="7"/>
      <c r="C154" s="7"/>
      <c r="D154" s="7"/>
      <c r="F154" s="7"/>
      <c r="G154" s="7"/>
      <c r="H154" s="7"/>
    </row>
    <row r="155" spans="2:8" x14ac:dyDescent="0.4">
      <c r="B155" s="7"/>
      <c r="C155" s="7"/>
      <c r="D155" s="7"/>
      <c r="F155" s="7"/>
      <c r="G155" s="7"/>
      <c r="H155" s="7"/>
    </row>
    <row r="156" spans="2:8" x14ac:dyDescent="0.4">
      <c r="B156" s="7"/>
      <c r="C156" s="7"/>
      <c r="D156" s="7"/>
      <c r="F156" s="7"/>
      <c r="G156" s="7"/>
      <c r="H156" s="7"/>
    </row>
    <row r="157" spans="2:8" x14ac:dyDescent="0.4">
      <c r="B157" s="7"/>
      <c r="C157" s="7"/>
      <c r="D157" s="7"/>
      <c r="F157" s="7"/>
      <c r="G157" s="7"/>
      <c r="H157" s="7"/>
    </row>
    <row r="158" spans="2:8" x14ac:dyDescent="0.4">
      <c r="B158" s="7"/>
      <c r="C158" s="7"/>
      <c r="D158" s="7"/>
      <c r="F158" s="7"/>
      <c r="G158" s="7"/>
      <c r="H158" s="7"/>
    </row>
    <row r="159" spans="2:8" x14ac:dyDescent="0.4">
      <c r="B159" s="7"/>
      <c r="C159" s="7"/>
      <c r="D159" s="7"/>
      <c r="F159" s="7"/>
      <c r="G159" s="7"/>
      <c r="H159" s="7"/>
    </row>
    <row r="160" spans="2:8" x14ac:dyDescent="0.4">
      <c r="B160" s="7"/>
      <c r="C160" s="7"/>
      <c r="D160" s="7"/>
      <c r="F160" s="7"/>
      <c r="G160" s="7"/>
      <c r="H160" s="7"/>
    </row>
    <row r="161" spans="2:8" x14ac:dyDescent="0.4">
      <c r="B161" s="7"/>
      <c r="C161" s="7"/>
      <c r="D161" s="7"/>
      <c r="F161" s="7"/>
      <c r="G161" s="7"/>
      <c r="H161" s="7"/>
    </row>
    <row r="162" spans="2:8" x14ac:dyDescent="0.4">
      <c r="B162" s="7"/>
      <c r="C162" s="7"/>
      <c r="D162" s="7"/>
      <c r="F162" s="7"/>
      <c r="G162" s="7"/>
      <c r="H162" s="7"/>
    </row>
    <row r="163" spans="2:8" x14ac:dyDescent="0.4">
      <c r="B163" s="7"/>
      <c r="C163" s="7"/>
      <c r="D163" s="7"/>
      <c r="F163" s="7"/>
      <c r="G163" s="7"/>
      <c r="H163" s="7"/>
    </row>
    <row r="164" spans="2:8" x14ac:dyDescent="0.4">
      <c r="B164" s="7"/>
      <c r="C164" s="7"/>
      <c r="D164" s="7"/>
      <c r="F164" s="7"/>
      <c r="G164" s="7"/>
      <c r="H164" s="7"/>
    </row>
    <row r="165" spans="2:8" x14ac:dyDescent="0.4">
      <c r="B165" s="7"/>
      <c r="C165" s="7"/>
      <c r="D165" s="7"/>
      <c r="F165" s="7"/>
      <c r="G165" s="7"/>
      <c r="H165" s="7"/>
    </row>
    <row r="166" spans="2:8" x14ac:dyDescent="0.4">
      <c r="B166" s="7"/>
      <c r="C166" s="7"/>
      <c r="D166" s="7"/>
      <c r="F166" s="7"/>
      <c r="G166" s="7"/>
      <c r="H166" s="7"/>
    </row>
    <row r="167" spans="2:8" x14ac:dyDescent="0.4">
      <c r="B167" s="7"/>
      <c r="C167" s="7"/>
      <c r="D167" s="7"/>
      <c r="F167" s="7"/>
      <c r="G167" s="7"/>
      <c r="H167" s="7"/>
    </row>
    <row r="168" spans="2:8" x14ac:dyDescent="0.4">
      <c r="B168" s="7"/>
      <c r="C168" s="7"/>
      <c r="D168" s="7"/>
      <c r="F168" s="7"/>
      <c r="G168" s="7"/>
      <c r="H168" s="7"/>
    </row>
    <row r="169" spans="2:8" x14ac:dyDescent="0.4">
      <c r="B169" s="7"/>
      <c r="C169" s="7"/>
      <c r="D169" s="7"/>
      <c r="F169" s="7"/>
      <c r="G169" s="7"/>
      <c r="H169" s="7"/>
    </row>
    <row r="170" spans="2:8" x14ac:dyDescent="0.4">
      <c r="B170" s="7"/>
      <c r="C170" s="7"/>
      <c r="D170" s="7"/>
      <c r="F170" s="7"/>
      <c r="G170" s="7"/>
      <c r="H170" s="7"/>
    </row>
    <row r="171" spans="2:8" x14ac:dyDescent="0.4">
      <c r="B171" s="7"/>
      <c r="C171" s="7"/>
      <c r="D171" s="7"/>
      <c r="F171" s="7"/>
      <c r="G171" s="7"/>
      <c r="H171" s="7"/>
    </row>
    <row r="172" spans="2:8" x14ac:dyDescent="0.4">
      <c r="B172" s="7"/>
      <c r="C172" s="7"/>
      <c r="D172" s="7"/>
      <c r="F172" s="7"/>
      <c r="G172" s="7"/>
      <c r="H172" s="7"/>
    </row>
    <row r="173" spans="2:8" x14ac:dyDescent="0.4">
      <c r="B173" s="7"/>
      <c r="C173" s="7"/>
      <c r="D173" s="7"/>
      <c r="F173" s="7"/>
      <c r="G173" s="7"/>
      <c r="H173" s="7"/>
    </row>
    <row r="174" spans="2:8" x14ac:dyDescent="0.4">
      <c r="B174" s="7"/>
      <c r="C174" s="7"/>
      <c r="D174" s="7"/>
      <c r="F174" s="7"/>
      <c r="G174" s="7"/>
      <c r="H174" s="7"/>
    </row>
    <row r="175" spans="2:8" x14ac:dyDescent="0.4">
      <c r="B175" s="7"/>
      <c r="C175" s="7"/>
      <c r="D175" s="7"/>
      <c r="F175" s="7"/>
      <c r="G175" s="7"/>
      <c r="H175" s="7"/>
    </row>
    <row r="176" spans="2:8" x14ac:dyDescent="0.4">
      <c r="B176" s="7"/>
      <c r="C176" s="7"/>
      <c r="D176" s="7"/>
      <c r="F176" s="7"/>
      <c r="G176" s="7"/>
      <c r="H176" s="7"/>
    </row>
    <row r="177" spans="2:8" x14ac:dyDescent="0.4">
      <c r="B177" s="7"/>
      <c r="C177" s="7"/>
      <c r="D177" s="7"/>
      <c r="F177" s="7"/>
      <c r="G177" s="7"/>
      <c r="H177" s="7"/>
    </row>
    <row r="178" spans="2:8" x14ac:dyDescent="0.4">
      <c r="B178" s="7"/>
      <c r="C178" s="7"/>
      <c r="D178" s="7"/>
      <c r="F178" s="7"/>
      <c r="G178" s="7"/>
      <c r="H178" s="7"/>
    </row>
    <row r="179" spans="2:8" x14ac:dyDescent="0.4">
      <c r="B179" s="7"/>
      <c r="C179" s="7"/>
      <c r="D179" s="7"/>
      <c r="F179" s="7"/>
      <c r="G179" s="7"/>
      <c r="H179" s="7"/>
    </row>
    <row r="180" spans="2:8" x14ac:dyDescent="0.4">
      <c r="B180" s="7"/>
      <c r="C180" s="7"/>
      <c r="D180" s="7"/>
      <c r="F180" s="7"/>
      <c r="G180" s="7"/>
      <c r="H180" s="7"/>
    </row>
    <row r="181" spans="2:8" x14ac:dyDescent="0.4">
      <c r="B181" s="7"/>
      <c r="C181" s="7"/>
      <c r="D181" s="7"/>
      <c r="F181" s="7"/>
      <c r="G181" s="7"/>
      <c r="H181" s="7"/>
    </row>
    <row r="182" spans="2:8" x14ac:dyDescent="0.4">
      <c r="B182" s="7"/>
      <c r="C182" s="7"/>
      <c r="D182" s="7"/>
      <c r="F182" s="7"/>
      <c r="G182" s="7"/>
      <c r="H182" s="7"/>
    </row>
    <row r="183" spans="2:8" x14ac:dyDescent="0.4">
      <c r="B183" s="7"/>
      <c r="C183" s="7"/>
      <c r="D183" s="7"/>
      <c r="F183" s="7"/>
      <c r="G183" s="7"/>
      <c r="H183" s="7"/>
    </row>
    <row r="184" spans="2:8" x14ac:dyDescent="0.4">
      <c r="B184" s="7"/>
      <c r="C184" s="7"/>
      <c r="D184" s="7"/>
      <c r="F184" s="7"/>
      <c r="G184" s="7"/>
      <c r="H184" s="7"/>
    </row>
    <row r="185" spans="2:8" x14ac:dyDescent="0.4">
      <c r="B185" s="7"/>
      <c r="C185" s="7"/>
      <c r="D185" s="7"/>
      <c r="F185" s="7"/>
      <c r="G185" s="7"/>
      <c r="H185" s="7"/>
    </row>
    <row r="186" spans="2:8" x14ac:dyDescent="0.4">
      <c r="B186" s="7"/>
      <c r="C186" s="7"/>
      <c r="D186" s="7"/>
      <c r="F186" s="7"/>
      <c r="G186" s="7"/>
      <c r="H186" s="7"/>
    </row>
    <row r="187" spans="2:8" x14ac:dyDescent="0.4">
      <c r="B187" s="7"/>
      <c r="C187" s="7"/>
      <c r="D187" s="7"/>
      <c r="F187" s="7"/>
      <c r="G187" s="7"/>
      <c r="H187" s="7"/>
    </row>
    <row r="188" spans="2:8" x14ac:dyDescent="0.4">
      <c r="B188" s="7"/>
      <c r="C188" s="7"/>
      <c r="D188" s="7"/>
      <c r="F188" s="7"/>
      <c r="G188" s="7"/>
      <c r="H188" s="7"/>
    </row>
    <row r="189" spans="2:8" x14ac:dyDescent="0.4">
      <c r="B189" s="7"/>
      <c r="C189" s="7"/>
      <c r="D189" s="7"/>
      <c r="F189" s="7"/>
      <c r="G189" s="7"/>
      <c r="H189" s="7"/>
    </row>
    <row r="190" spans="2:8" x14ac:dyDescent="0.4">
      <c r="B190" s="7"/>
      <c r="C190" s="7"/>
      <c r="D190" s="7"/>
      <c r="F190" s="7"/>
      <c r="G190" s="7"/>
      <c r="H190" s="7"/>
    </row>
    <row r="191" spans="2:8" x14ac:dyDescent="0.4">
      <c r="B191" s="7"/>
      <c r="C191" s="7"/>
      <c r="D191" s="7"/>
      <c r="F191" s="7"/>
      <c r="G191" s="7"/>
      <c r="H191" s="7"/>
    </row>
    <row r="192" spans="2:8" x14ac:dyDescent="0.4">
      <c r="B192" s="7"/>
      <c r="C192" s="7"/>
      <c r="D192" s="7"/>
      <c r="F192" s="7"/>
      <c r="G192" s="7"/>
      <c r="H192" s="7"/>
    </row>
    <row r="193" spans="2:8" x14ac:dyDescent="0.4">
      <c r="B193" s="7"/>
      <c r="C193" s="7"/>
      <c r="D193" s="7"/>
      <c r="F193" s="7"/>
      <c r="G193" s="7"/>
      <c r="H193" s="7"/>
    </row>
    <row r="194" spans="2:8" x14ac:dyDescent="0.4">
      <c r="B194" s="7"/>
      <c r="C194" s="7"/>
      <c r="D194" s="7"/>
      <c r="F194" s="7"/>
      <c r="G194" s="7"/>
      <c r="H194" s="7"/>
    </row>
    <row r="195" spans="2:8" x14ac:dyDescent="0.4">
      <c r="B195" s="7"/>
      <c r="C195" s="7"/>
      <c r="D195" s="7"/>
      <c r="F195" s="7"/>
      <c r="G195" s="7"/>
      <c r="H195" s="7"/>
    </row>
    <row r="196" spans="2:8" x14ac:dyDescent="0.4">
      <c r="B196" s="7"/>
      <c r="C196" s="7"/>
      <c r="D196" s="7"/>
      <c r="F196" s="7"/>
      <c r="G196" s="7"/>
      <c r="H196" s="7"/>
    </row>
    <row r="197" spans="2:8" x14ac:dyDescent="0.4">
      <c r="B197" s="7"/>
      <c r="C197" s="7"/>
      <c r="D197" s="7"/>
      <c r="F197" s="7"/>
      <c r="G197" s="7"/>
      <c r="H197" s="7"/>
    </row>
    <row r="198" spans="2:8" x14ac:dyDescent="0.4">
      <c r="B198" s="7"/>
      <c r="C198" s="7"/>
      <c r="D198" s="7"/>
      <c r="F198" s="7"/>
      <c r="G198" s="7"/>
      <c r="H198" s="7"/>
    </row>
    <row r="199" spans="2:8" x14ac:dyDescent="0.4">
      <c r="B199" s="7"/>
      <c r="C199" s="7"/>
      <c r="D199" s="7"/>
      <c r="F199" s="7"/>
      <c r="G199" s="7"/>
      <c r="H199" s="7"/>
    </row>
    <row r="200" spans="2:8" x14ac:dyDescent="0.4">
      <c r="B200" s="7"/>
      <c r="C200" s="7"/>
      <c r="D200" s="7"/>
      <c r="F200" s="7"/>
      <c r="G200" s="7"/>
      <c r="H200" s="7"/>
    </row>
    <row r="201" spans="2:8" x14ac:dyDescent="0.4">
      <c r="B201" s="7"/>
      <c r="C201" s="7"/>
      <c r="D201" s="7"/>
      <c r="F201" s="7"/>
      <c r="G201" s="7"/>
      <c r="H201" s="7"/>
    </row>
    <row r="202" spans="2:8" x14ac:dyDescent="0.4">
      <c r="B202" s="7"/>
      <c r="C202" s="7"/>
      <c r="D202" s="7"/>
      <c r="F202" s="7"/>
      <c r="G202" s="7"/>
      <c r="H202" s="7"/>
    </row>
    <row r="203" spans="2:8" x14ac:dyDescent="0.4">
      <c r="B203" s="7"/>
      <c r="C203" s="7"/>
      <c r="D203" s="7"/>
      <c r="F203" s="7"/>
      <c r="G203" s="7"/>
      <c r="H203" s="7"/>
    </row>
    <row r="204" spans="2:8" x14ac:dyDescent="0.4">
      <c r="B204" s="7"/>
      <c r="C204" s="7"/>
      <c r="D204" s="7"/>
      <c r="F204" s="7"/>
      <c r="G204" s="7"/>
      <c r="H204" s="7"/>
    </row>
    <row r="205" spans="2:8" x14ac:dyDescent="0.4">
      <c r="B205" s="7"/>
      <c r="C205" s="7"/>
      <c r="D205" s="7"/>
      <c r="F205" s="7"/>
      <c r="G205" s="7"/>
      <c r="H205" s="7"/>
    </row>
    <row r="206" spans="2:8" x14ac:dyDescent="0.4">
      <c r="B206" s="7"/>
      <c r="C206" s="7"/>
      <c r="D206" s="7"/>
      <c r="F206" s="7"/>
      <c r="G206" s="7"/>
      <c r="H206" s="7"/>
    </row>
    <row r="207" spans="2:8" x14ac:dyDescent="0.4">
      <c r="B207" s="7"/>
      <c r="C207" s="7"/>
      <c r="D207" s="7"/>
      <c r="F207" s="7"/>
      <c r="G207" s="7"/>
      <c r="H207" s="7"/>
    </row>
    <row r="208" spans="2:8" x14ac:dyDescent="0.4">
      <c r="B208" s="7"/>
      <c r="C208" s="7"/>
      <c r="D208" s="7"/>
      <c r="F208" s="7"/>
      <c r="G208" s="7"/>
      <c r="H208" s="7"/>
    </row>
    <row r="209" spans="2:8" x14ac:dyDescent="0.4">
      <c r="B209" s="7"/>
      <c r="C209" s="7"/>
      <c r="D209" s="7"/>
      <c r="F209" s="7"/>
      <c r="G209" s="7"/>
      <c r="H209" s="7"/>
    </row>
    <row r="210" spans="2:8" x14ac:dyDescent="0.4">
      <c r="B210" s="7"/>
      <c r="C210" s="7"/>
      <c r="D210" s="7"/>
      <c r="F210" s="7"/>
      <c r="G210" s="7"/>
      <c r="H210" s="7"/>
    </row>
    <row r="211" spans="2:8" x14ac:dyDescent="0.4">
      <c r="B211" s="7"/>
      <c r="C211" s="7"/>
      <c r="D211" s="7"/>
      <c r="F211" s="7"/>
      <c r="G211" s="7"/>
      <c r="H211" s="7"/>
    </row>
    <row r="212" spans="2:8" x14ac:dyDescent="0.4">
      <c r="B212" s="7"/>
      <c r="C212" s="7"/>
      <c r="D212" s="7"/>
      <c r="F212" s="7"/>
      <c r="G212" s="7"/>
      <c r="H212" s="7"/>
    </row>
    <row r="213" spans="2:8" x14ac:dyDescent="0.4">
      <c r="B213" s="7"/>
      <c r="C213" s="7"/>
      <c r="D213" s="7"/>
      <c r="F213" s="7"/>
      <c r="G213" s="7"/>
      <c r="H213" s="7"/>
    </row>
    <row r="214" spans="2:8" x14ac:dyDescent="0.4">
      <c r="B214" s="7"/>
      <c r="C214" s="7"/>
      <c r="D214" s="7"/>
      <c r="F214" s="7"/>
      <c r="G214" s="7"/>
      <c r="H214" s="7"/>
    </row>
    <row r="215" spans="2:8" x14ac:dyDescent="0.4">
      <c r="B215" s="7"/>
      <c r="C215" s="7"/>
      <c r="D215" s="7"/>
      <c r="F215" s="7"/>
      <c r="G215" s="7"/>
      <c r="H215" s="7"/>
    </row>
    <row r="216" spans="2:8" x14ac:dyDescent="0.4">
      <c r="B216" s="7"/>
      <c r="C216" s="7"/>
      <c r="D216" s="7"/>
      <c r="F216" s="7"/>
      <c r="G216" s="7"/>
      <c r="H216" s="7"/>
    </row>
    <row r="217" spans="2:8" x14ac:dyDescent="0.4">
      <c r="B217" s="7"/>
      <c r="C217" s="7"/>
      <c r="D217" s="7"/>
      <c r="F217" s="7"/>
      <c r="G217" s="7"/>
      <c r="H217" s="7"/>
    </row>
    <row r="218" spans="2:8" x14ac:dyDescent="0.4">
      <c r="B218" s="7"/>
      <c r="C218" s="7"/>
      <c r="D218" s="7"/>
      <c r="F218" s="7"/>
      <c r="G218" s="7"/>
      <c r="H218" s="7"/>
    </row>
    <row r="219" spans="2:8" x14ac:dyDescent="0.4">
      <c r="B219" s="7"/>
      <c r="C219" s="7"/>
      <c r="D219" s="7"/>
      <c r="F219" s="7"/>
      <c r="G219" s="7"/>
      <c r="H219" s="7"/>
    </row>
    <row r="220" spans="2:8" x14ac:dyDescent="0.4">
      <c r="B220" s="7"/>
      <c r="C220" s="7"/>
      <c r="D220" s="7"/>
      <c r="F220" s="7"/>
      <c r="G220" s="7"/>
      <c r="H220" s="7"/>
    </row>
    <row r="221" spans="2:8" x14ac:dyDescent="0.4">
      <c r="B221" s="7"/>
      <c r="C221" s="7"/>
      <c r="D221" s="7"/>
      <c r="F221" s="7"/>
      <c r="G221" s="7"/>
      <c r="H221" s="7"/>
    </row>
    <row r="222" spans="2:8" x14ac:dyDescent="0.4">
      <c r="B222" s="7"/>
      <c r="C222" s="7"/>
      <c r="D222" s="7"/>
      <c r="F222" s="7"/>
      <c r="G222" s="7"/>
      <c r="H222" s="7"/>
    </row>
    <row r="223" spans="2:8" x14ac:dyDescent="0.4">
      <c r="B223" s="7"/>
      <c r="C223" s="7"/>
      <c r="D223" s="7"/>
      <c r="F223" s="7"/>
      <c r="G223" s="7"/>
      <c r="H223" s="7"/>
    </row>
    <row r="224" spans="2:8" x14ac:dyDescent="0.4">
      <c r="B224" s="7"/>
      <c r="C224" s="7"/>
      <c r="D224" s="7"/>
      <c r="F224" s="7"/>
      <c r="G224" s="7"/>
      <c r="H224" s="7"/>
    </row>
    <row r="225" spans="2:8" x14ac:dyDescent="0.4">
      <c r="B225" s="7"/>
      <c r="C225" s="7"/>
      <c r="D225" s="7"/>
      <c r="F225" s="7"/>
      <c r="G225" s="7"/>
      <c r="H225" s="7"/>
    </row>
    <row r="226" spans="2:8" x14ac:dyDescent="0.4">
      <c r="B226" s="7"/>
      <c r="C226" s="7"/>
      <c r="D226" s="7"/>
      <c r="F226" s="7"/>
      <c r="G226" s="7"/>
      <c r="H226" s="7"/>
    </row>
    <row r="227" spans="2:8" x14ac:dyDescent="0.4">
      <c r="B227" s="7"/>
      <c r="C227" s="7"/>
      <c r="D227" s="7"/>
      <c r="F227" s="7"/>
      <c r="G227" s="7"/>
      <c r="H227" s="7"/>
    </row>
    <row r="228" spans="2:8" x14ac:dyDescent="0.4">
      <c r="B228" s="7"/>
      <c r="C228" s="7"/>
      <c r="D228" s="7"/>
      <c r="F228" s="7"/>
      <c r="G228" s="7"/>
      <c r="H228" s="7"/>
    </row>
    <row r="229" spans="2:8" x14ac:dyDescent="0.4">
      <c r="B229" s="7"/>
      <c r="C229" s="7"/>
      <c r="D229" s="7"/>
      <c r="F229" s="7"/>
      <c r="G229" s="7"/>
      <c r="H229" s="7"/>
    </row>
    <row r="230" spans="2:8" x14ac:dyDescent="0.4">
      <c r="B230" s="7"/>
      <c r="C230" s="7"/>
      <c r="D230" s="7"/>
      <c r="F230" s="7"/>
      <c r="G230" s="7"/>
      <c r="H230" s="7"/>
    </row>
    <row r="231" spans="2:8" x14ac:dyDescent="0.4">
      <c r="B231" s="7"/>
      <c r="C231" s="7"/>
      <c r="D231" s="7"/>
      <c r="F231" s="7"/>
      <c r="G231" s="7"/>
      <c r="H231" s="7"/>
    </row>
    <row r="232" spans="2:8" x14ac:dyDescent="0.4">
      <c r="B232" s="7"/>
      <c r="C232" s="7"/>
      <c r="D232" s="7"/>
      <c r="F232" s="7"/>
      <c r="G232" s="7"/>
      <c r="H232" s="7"/>
    </row>
    <row r="233" spans="2:8" x14ac:dyDescent="0.4">
      <c r="B233" s="7"/>
      <c r="C233" s="7"/>
      <c r="D233" s="7"/>
      <c r="F233" s="7"/>
      <c r="G233" s="7"/>
      <c r="H233" s="7"/>
    </row>
    <row r="234" spans="2:8" x14ac:dyDescent="0.4">
      <c r="B234" s="7"/>
      <c r="C234" s="7"/>
      <c r="D234" s="7"/>
      <c r="F234" s="7"/>
      <c r="G234" s="7"/>
      <c r="H234" s="7"/>
    </row>
    <row r="235" spans="2:8" x14ac:dyDescent="0.4">
      <c r="B235" s="7"/>
      <c r="C235" s="7"/>
      <c r="D235" s="7"/>
      <c r="F235" s="7"/>
      <c r="G235" s="7"/>
      <c r="H235" s="7"/>
    </row>
    <row r="236" spans="2:8" x14ac:dyDescent="0.4">
      <c r="B236" s="7"/>
      <c r="C236" s="7"/>
      <c r="D236" s="7"/>
      <c r="F236" s="7"/>
      <c r="G236" s="7"/>
      <c r="H236" s="7"/>
    </row>
    <row r="237" spans="2:8" x14ac:dyDescent="0.4">
      <c r="B237" s="7"/>
      <c r="C237" s="7"/>
      <c r="D237" s="7"/>
      <c r="F237" s="7"/>
      <c r="G237" s="7"/>
      <c r="H237" s="7"/>
    </row>
    <row r="238" spans="2:8" x14ac:dyDescent="0.4">
      <c r="B238" s="7"/>
      <c r="C238" s="7"/>
      <c r="D238" s="7"/>
      <c r="F238" s="7"/>
      <c r="G238" s="7"/>
      <c r="H238" s="7"/>
    </row>
    <row r="239" spans="2:8" x14ac:dyDescent="0.4">
      <c r="B239" s="7"/>
      <c r="C239" s="7"/>
      <c r="D239" s="7"/>
      <c r="F239" s="7"/>
      <c r="G239" s="7"/>
      <c r="H239" s="7"/>
    </row>
    <row r="240" spans="2:8" x14ac:dyDescent="0.4">
      <c r="B240" s="7"/>
      <c r="C240" s="7"/>
      <c r="D240" s="7"/>
      <c r="F240" s="7"/>
      <c r="G240" s="7"/>
      <c r="H240" s="7"/>
    </row>
    <row r="241" spans="2:8" x14ac:dyDescent="0.4">
      <c r="B241" s="7"/>
      <c r="C241" s="7"/>
      <c r="D241" s="7"/>
      <c r="F241" s="7"/>
      <c r="G241" s="7"/>
      <c r="H241" s="7"/>
    </row>
    <row r="242" spans="2:8" x14ac:dyDescent="0.4">
      <c r="B242" s="7"/>
      <c r="C242" s="7"/>
      <c r="D242" s="7"/>
      <c r="F242" s="7"/>
      <c r="G242" s="7"/>
      <c r="H242" s="7"/>
    </row>
    <row r="243" spans="2:8" x14ac:dyDescent="0.4">
      <c r="B243" s="7"/>
      <c r="C243" s="7"/>
      <c r="D243" s="7"/>
      <c r="F243" s="7"/>
      <c r="G243" s="7"/>
      <c r="H243" s="7"/>
    </row>
    <row r="244" spans="2:8" x14ac:dyDescent="0.4">
      <c r="B244" s="7"/>
      <c r="C244" s="7"/>
      <c r="D244" s="7"/>
      <c r="F244" s="7"/>
      <c r="G244" s="7"/>
      <c r="H244" s="7"/>
    </row>
    <row r="245" spans="2:8" x14ac:dyDescent="0.4">
      <c r="B245" s="7"/>
      <c r="C245" s="7"/>
      <c r="D245" s="7"/>
      <c r="F245" s="7"/>
      <c r="G245" s="7"/>
      <c r="H245" s="7"/>
    </row>
    <row r="246" spans="2:8" x14ac:dyDescent="0.4">
      <c r="B246" s="7"/>
      <c r="C246" s="7"/>
      <c r="D246" s="7"/>
      <c r="F246" s="7"/>
      <c r="G246" s="7"/>
      <c r="H246" s="7"/>
    </row>
    <row r="247" spans="2:8" x14ac:dyDescent="0.4">
      <c r="B247" s="7"/>
      <c r="C247" s="7"/>
      <c r="D247" s="7"/>
      <c r="F247" s="7"/>
      <c r="G247" s="7"/>
      <c r="H247" s="7"/>
    </row>
    <row r="248" spans="2:8" x14ac:dyDescent="0.4">
      <c r="B248" s="7"/>
      <c r="C248" s="7"/>
      <c r="D248" s="7"/>
      <c r="F248" s="7"/>
      <c r="G248" s="7"/>
      <c r="H248" s="7"/>
    </row>
    <row r="249" spans="2:8" x14ac:dyDescent="0.4">
      <c r="B249" s="7"/>
      <c r="C249" s="7"/>
      <c r="D249" s="7"/>
      <c r="F249" s="7"/>
      <c r="G249" s="7"/>
      <c r="H249" s="7"/>
    </row>
    <row r="250" spans="2:8" x14ac:dyDescent="0.4">
      <c r="B250" s="7"/>
      <c r="C250" s="7"/>
      <c r="D250" s="7"/>
      <c r="F250" s="7"/>
      <c r="G250" s="7"/>
      <c r="H250" s="7"/>
    </row>
    <row r="251" spans="2:8" x14ac:dyDescent="0.4">
      <c r="B251" s="7"/>
      <c r="C251" s="7"/>
      <c r="D251" s="7"/>
      <c r="F251" s="7"/>
      <c r="G251" s="7"/>
      <c r="H251" s="7"/>
    </row>
    <row r="252" spans="2:8" x14ac:dyDescent="0.4">
      <c r="B252" s="7"/>
      <c r="C252" s="7"/>
      <c r="D252" s="7"/>
      <c r="F252" s="7"/>
      <c r="G252" s="7"/>
      <c r="H252" s="7"/>
    </row>
    <row r="253" spans="2:8" x14ac:dyDescent="0.4">
      <c r="B253" s="7"/>
      <c r="C253" s="7"/>
      <c r="D253" s="7"/>
      <c r="F253" s="7"/>
      <c r="G253" s="7"/>
      <c r="H253" s="7"/>
    </row>
    <row r="254" spans="2:8" x14ac:dyDescent="0.4">
      <c r="B254" s="7"/>
      <c r="C254" s="7"/>
      <c r="D254" s="7"/>
      <c r="F254" s="7"/>
      <c r="G254" s="7"/>
      <c r="H254" s="7"/>
    </row>
    <row r="255" spans="2:8" x14ac:dyDescent="0.4">
      <c r="B255" s="7"/>
      <c r="C255" s="7"/>
      <c r="D255" s="7"/>
      <c r="F255" s="7"/>
      <c r="G255" s="7"/>
      <c r="H255" s="7"/>
    </row>
    <row r="256" spans="2:8" x14ac:dyDescent="0.4">
      <c r="B256" s="7"/>
      <c r="C256" s="7"/>
      <c r="D256" s="7"/>
      <c r="F256" s="7"/>
      <c r="G256" s="7"/>
      <c r="H256" s="7"/>
    </row>
    <row r="257" spans="2:8" x14ac:dyDescent="0.4">
      <c r="B257" s="7"/>
      <c r="C257" s="7"/>
      <c r="D257" s="7"/>
      <c r="F257" s="7"/>
      <c r="G257" s="7"/>
      <c r="H257" s="7"/>
    </row>
    <row r="258" spans="2:8" x14ac:dyDescent="0.4">
      <c r="B258" s="7"/>
      <c r="C258" s="7"/>
      <c r="D258" s="7"/>
      <c r="F258" s="7"/>
      <c r="G258" s="7"/>
      <c r="H258" s="7"/>
    </row>
    <row r="259" spans="2:8" x14ac:dyDescent="0.4">
      <c r="B259" s="7"/>
      <c r="C259" s="7"/>
      <c r="D259" s="7"/>
      <c r="F259" s="7"/>
      <c r="G259" s="7"/>
      <c r="H259" s="7"/>
    </row>
    <row r="260" spans="2:8" x14ac:dyDescent="0.4">
      <c r="B260" s="7"/>
      <c r="C260" s="7"/>
      <c r="D260" s="7"/>
      <c r="F260" s="7"/>
      <c r="G260" s="7"/>
      <c r="H260" s="7"/>
    </row>
    <row r="261" spans="2:8" x14ac:dyDescent="0.4">
      <c r="B261" s="7"/>
      <c r="C261" s="7"/>
      <c r="D261" s="7"/>
      <c r="F261" s="7"/>
      <c r="G261" s="7"/>
      <c r="H261" s="7"/>
    </row>
    <row r="262" spans="2:8" x14ac:dyDescent="0.4">
      <c r="B262" s="7"/>
      <c r="C262" s="7"/>
      <c r="D262" s="7"/>
      <c r="F262" s="7"/>
      <c r="G262" s="7"/>
      <c r="H262" s="7"/>
    </row>
    <row r="263" spans="2:8" x14ac:dyDescent="0.4">
      <c r="B263" s="7"/>
      <c r="C263" s="7"/>
      <c r="D263" s="7"/>
      <c r="F263" s="7"/>
      <c r="G263" s="7"/>
      <c r="H263" s="7"/>
    </row>
    <row r="264" spans="2:8" x14ac:dyDescent="0.4">
      <c r="B264" s="7"/>
      <c r="C264" s="7"/>
      <c r="D264" s="7"/>
      <c r="F264" s="7"/>
      <c r="G264" s="7"/>
      <c r="H264" s="7"/>
    </row>
    <row r="265" spans="2:8" x14ac:dyDescent="0.4">
      <c r="B265" s="7"/>
      <c r="C265" s="7"/>
      <c r="D265" s="7"/>
      <c r="F265" s="7"/>
      <c r="G265" s="7"/>
      <c r="H265" s="7"/>
    </row>
    <row r="266" spans="2:8" x14ac:dyDescent="0.4">
      <c r="B266" s="7"/>
      <c r="C266" s="7"/>
      <c r="D266" s="7"/>
      <c r="F266" s="7"/>
      <c r="G266" s="7"/>
      <c r="H266" s="7"/>
    </row>
    <row r="267" spans="2:8" x14ac:dyDescent="0.4">
      <c r="B267" s="7"/>
      <c r="C267" s="7"/>
      <c r="D267" s="7"/>
      <c r="F267" s="7"/>
      <c r="G267" s="7"/>
      <c r="H267" s="7"/>
    </row>
    <row r="268" spans="2:8" x14ac:dyDescent="0.4">
      <c r="B268" s="7"/>
      <c r="C268" s="7"/>
      <c r="D268" s="7"/>
      <c r="F268" s="7"/>
      <c r="G268" s="7"/>
      <c r="H268" s="7"/>
    </row>
    <row r="269" spans="2:8" x14ac:dyDescent="0.4">
      <c r="B269" s="7"/>
      <c r="C269" s="7"/>
      <c r="D269" s="7"/>
      <c r="F269" s="7"/>
      <c r="G269" s="7"/>
      <c r="H269" s="7"/>
    </row>
    <row r="270" spans="2:8" x14ac:dyDescent="0.4">
      <c r="B270" s="7"/>
      <c r="C270" s="7"/>
      <c r="D270" s="7"/>
      <c r="F270" s="7"/>
      <c r="G270" s="7"/>
      <c r="H270" s="7"/>
    </row>
    <row r="271" spans="2:8" x14ac:dyDescent="0.4">
      <c r="B271" s="7"/>
      <c r="C271" s="7"/>
      <c r="D271" s="7"/>
      <c r="F271" s="7"/>
      <c r="G271" s="7"/>
      <c r="H271" s="7"/>
    </row>
    <row r="272" spans="2:8" x14ac:dyDescent="0.4">
      <c r="B272" s="7"/>
      <c r="C272" s="7"/>
      <c r="D272" s="7"/>
      <c r="F272" s="7"/>
      <c r="G272" s="7"/>
      <c r="H272" s="7"/>
    </row>
    <row r="273" spans="2:8" x14ac:dyDescent="0.4">
      <c r="B273" s="7"/>
      <c r="C273" s="7"/>
      <c r="D273" s="7"/>
      <c r="F273" s="7"/>
      <c r="G273" s="7"/>
      <c r="H273" s="7"/>
    </row>
    <row r="274" spans="2:8" x14ac:dyDescent="0.4">
      <c r="B274" s="7"/>
      <c r="C274" s="7"/>
      <c r="D274" s="7"/>
      <c r="F274" s="7"/>
      <c r="G274" s="7"/>
      <c r="H274" s="7"/>
    </row>
    <row r="275" spans="2:8" x14ac:dyDescent="0.4">
      <c r="B275" s="7"/>
      <c r="C275" s="7"/>
      <c r="D275" s="7"/>
      <c r="F275" s="7"/>
      <c r="G275" s="7"/>
      <c r="H275" s="7"/>
    </row>
    <row r="276" spans="2:8" x14ac:dyDescent="0.4">
      <c r="B276" s="7"/>
      <c r="C276" s="7"/>
      <c r="D276" s="7"/>
      <c r="F276" s="7"/>
      <c r="G276" s="7"/>
      <c r="H276" s="7"/>
    </row>
    <row r="277" spans="2:8" x14ac:dyDescent="0.4">
      <c r="B277" s="7"/>
      <c r="C277" s="7"/>
      <c r="D277" s="7"/>
      <c r="F277" s="7"/>
      <c r="G277" s="7"/>
      <c r="H277" s="7"/>
    </row>
    <row r="278" spans="2:8" x14ac:dyDescent="0.4">
      <c r="B278" s="7"/>
      <c r="C278" s="7"/>
      <c r="D278" s="7"/>
      <c r="F278" s="7"/>
      <c r="G278" s="7"/>
      <c r="H278" s="7"/>
    </row>
    <row r="279" spans="2:8" x14ac:dyDescent="0.4">
      <c r="B279" s="7"/>
      <c r="C279" s="7"/>
      <c r="D279" s="7"/>
      <c r="F279" s="7"/>
      <c r="G279" s="7"/>
      <c r="H279" s="7"/>
    </row>
    <row r="280" spans="2:8" x14ac:dyDescent="0.4">
      <c r="B280" s="7"/>
      <c r="C280" s="7"/>
      <c r="D280" s="7"/>
      <c r="F280" s="7"/>
      <c r="G280" s="7"/>
      <c r="H280" s="7"/>
    </row>
    <row r="281" spans="2:8" x14ac:dyDescent="0.4">
      <c r="B281" s="7"/>
      <c r="C281" s="7"/>
      <c r="D281" s="7"/>
      <c r="F281" s="7"/>
      <c r="G281" s="7"/>
      <c r="H281" s="7"/>
    </row>
    <row r="282" spans="2:8" x14ac:dyDescent="0.4">
      <c r="B282" s="7"/>
      <c r="C282" s="7"/>
      <c r="D282" s="7"/>
      <c r="F282" s="7"/>
      <c r="G282" s="7"/>
      <c r="H282" s="7"/>
    </row>
    <row r="283" spans="2:8" x14ac:dyDescent="0.4">
      <c r="B283" s="7"/>
      <c r="C283" s="7"/>
      <c r="D283" s="7"/>
      <c r="F283" s="7"/>
      <c r="G283" s="7"/>
      <c r="H283" s="7"/>
    </row>
    <row r="284" spans="2:8" x14ac:dyDescent="0.4">
      <c r="B284" s="7"/>
      <c r="C284" s="7"/>
      <c r="D284" s="7"/>
      <c r="F284" s="7"/>
      <c r="G284" s="7"/>
      <c r="H284" s="7"/>
    </row>
    <row r="285" spans="2:8" x14ac:dyDescent="0.4">
      <c r="B285" s="7"/>
      <c r="C285" s="7"/>
      <c r="D285" s="7"/>
      <c r="F285" s="7"/>
      <c r="G285" s="7"/>
      <c r="H285" s="7"/>
    </row>
    <row r="286" spans="2:8" x14ac:dyDescent="0.4">
      <c r="B286" s="7"/>
      <c r="C286" s="7"/>
      <c r="D286" s="7"/>
      <c r="F286" s="7"/>
      <c r="G286" s="7"/>
      <c r="H286" s="7"/>
    </row>
    <row r="287" spans="2:8" x14ac:dyDescent="0.4">
      <c r="B287" s="7"/>
      <c r="C287" s="7"/>
      <c r="D287" s="7"/>
      <c r="F287" s="7"/>
      <c r="G287" s="7"/>
      <c r="H287" s="7"/>
    </row>
    <row r="288" spans="2:8" x14ac:dyDescent="0.4">
      <c r="B288" s="7"/>
      <c r="C288" s="7"/>
      <c r="D288" s="7"/>
      <c r="F288" s="7"/>
      <c r="G288" s="7"/>
      <c r="H288" s="7"/>
    </row>
    <row r="289" spans="2:8" x14ac:dyDescent="0.4">
      <c r="B289" s="7"/>
      <c r="C289" s="7"/>
      <c r="D289" s="7"/>
      <c r="F289" s="7"/>
      <c r="G289" s="7"/>
      <c r="H289" s="7"/>
    </row>
    <row r="290" spans="2:8" x14ac:dyDescent="0.4">
      <c r="B290" s="7"/>
      <c r="C290" s="7"/>
      <c r="D290" s="7"/>
      <c r="F290" s="7"/>
      <c r="G290" s="7"/>
      <c r="H290" s="7"/>
    </row>
    <row r="291" spans="2:8" x14ac:dyDescent="0.4">
      <c r="B291" s="7"/>
      <c r="C291" s="7"/>
      <c r="D291" s="7"/>
      <c r="F291" s="7"/>
      <c r="G291" s="7"/>
      <c r="H291" s="7"/>
    </row>
    <row r="292" spans="2:8" x14ac:dyDescent="0.4">
      <c r="B292" s="7"/>
      <c r="C292" s="7"/>
      <c r="D292" s="7"/>
      <c r="F292" s="7"/>
      <c r="G292" s="7"/>
      <c r="H292" s="7"/>
    </row>
    <row r="293" spans="2:8" x14ac:dyDescent="0.4">
      <c r="B293" s="7"/>
      <c r="C293" s="7"/>
      <c r="D293" s="7"/>
      <c r="F293" s="7"/>
      <c r="G293" s="7"/>
      <c r="H293" s="7"/>
    </row>
    <row r="294" spans="2:8" x14ac:dyDescent="0.4">
      <c r="B294" s="7"/>
      <c r="C294" s="7"/>
      <c r="D294" s="7"/>
      <c r="F294" s="7"/>
      <c r="G294" s="7"/>
      <c r="H294" s="7"/>
    </row>
    <row r="295" spans="2:8" x14ac:dyDescent="0.4">
      <c r="B295" s="7"/>
      <c r="C295" s="7"/>
      <c r="D295" s="7"/>
      <c r="F295" s="7"/>
      <c r="G295" s="7"/>
      <c r="H295" s="7"/>
    </row>
    <row r="296" spans="2:8" x14ac:dyDescent="0.4">
      <c r="B296" s="7"/>
      <c r="C296" s="7"/>
      <c r="D296" s="7"/>
      <c r="F296" s="7"/>
      <c r="G296" s="7"/>
      <c r="H296" s="7"/>
    </row>
    <row r="297" spans="2:8" x14ac:dyDescent="0.4">
      <c r="B297" s="7"/>
      <c r="C297" s="7"/>
      <c r="D297" s="7"/>
      <c r="F297" s="7"/>
      <c r="G297" s="7"/>
      <c r="H297" s="7"/>
    </row>
    <row r="298" spans="2:8" x14ac:dyDescent="0.4">
      <c r="B298" s="7"/>
      <c r="C298" s="7"/>
      <c r="D298" s="7"/>
      <c r="F298" s="7"/>
      <c r="G298" s="7"/>
      <c r="H298" s="7"/>
    </row>
    <row r="299" spans="2:8" x14ac:dyDescent="0.4">
      <c r="B299" s="7"/>
      <c r="C299" s="7"/>
      <c r="D299" s="7"/>
      <c r="F299" s="7"/>
      <c r="G299" s="7"/>
      <c r="H299" s="7"/>
    </row>
    <row r="300" spans="2:8" x14ac:dyDescent="0.4">
      <c r="B300" s="7"/>
      <c r="C300" s="7"/>
      <c r="D300" s="7"/>
      <c r="F300" s="7"/>
      <c r="G300" s="7"/>
      <c r="H300" s="7"/>
    </row>
    <row r="301" spans="2:8" x14ac:dyDescent="0.4">
      <c r="B301" s="7"/>
      <c r="C301" s="7"/>
      <c r="D301" s="7"/>
      <c r="F301" s="7"/>
      <c r="G301" s="7"/>
      <c r="H301" s="7"/>
    </row>
    <row r="302" spans="2:8" x14ac:dyDescent="0.4">
      <c r="B302" s="7"/>
      <c r="C302" s="7"/>
      <c r="D302" s="7"/>
      <c r="F302" s="7"/>
      <c r="G302" s="7"/>
      <c r="H302" s="7"/>
    </row>
    <row r="303" spans="2:8" x14ac:dyDescent="0.4">
      <c r="B303" s="7"/>
      <c r="C303" s="7"/>
      <c r="D303" s="7"/>
      <c r="F303" s="7"/>
      <c r="G303" s="7"/>
      <c r="H303" s="7"/>
    </row>
    <row r="304" spans="2:8" x14ac:dyDescent="0.4">
      <c r="B304" s="7"/>
      <c r="C304" s="7"/>
      <c r="D304" s="7"/>
      <c r="F304" s="7"/>
      <c r="G304" s="7"/>
      <c r="H304" s="7"/>
    </row>
  </sheetData>
  <mergeCells count="21">
    <mergeCell ref="B3:D3"/>
    <mergeCell ref="F3:H3"/>
    <mergeCell ref="J3:K3"/>
    <mergeCell ref="J4:K4"/>
    <mergeCell ref="K22:K23"/>
    <mergeCell ref="A1:J1"/>
    <mergeCell ref="M16:M17"/>
    <mergeCell ref="N22:N23"/>
    <mergeCell ref="N20:N21"/>
    <mergeCell ref="N18:N19"/>
    <mergeCell ref="N16:N17"/>
    <mergeCell ref="M22:M23"/>
    <mergeCell ref="M20:M21"/>
    <mergeCell ref="M18:M19"/>
    <mergeCell ref="J16:J17"/>
    <mergeCell ref="K16:K17"/>
    <mergeCell ref="J18:J19"/>
    <mergeCell ref="K18:K19"/>
    <mergeCell ref="J20:J21"/>
    <mergeCell ref="K20:K21"/>
    <mergeCell ref="J22:J23"/>
  </mergeCells>
  <phoneticPr fontId="1"/>
  <conditionalFormatting sqref="B25:D25 B22:B24 D22:D24 B4:D8 D26:D33 B16:D21 B9:B15 D9:D15 C9:C13 B26:C34 B35:D330">
    <cfRule type="cellIs" dxfId="44" priority="16" operator="equal">
      <formula>"牛お化け"</formula>
    </cfRule>
    <cfRule type="cellIs" dxfId="43" priority="17" operator="equal">
      <formula>"上タヌキ"</formula>
    </cfRule>
    <cfRule type="cellIs" dxfId="42" priority="18" operator="equal">
      <formula>"デカタヌキ"</formula>
    </cfRule>
    <cfRule type="containsText" dxfId="41" priority="19" operator="containsText" text="タヌキ">
      <formula>NOT(ISERROR(SEARCH("タヌキ",B4)))</formula>
    </cfRule>
    <cfRule type="containsText" dxfId="40" priority="20" operator="containsText" text="スタート">
      <formula>NOT(ISERROR(SEARCH("スタート",B4)))</formula>
    </cfRule>
  </conditionalFormatting>
  <conditionalFormatting sqref="F4:H350">
    <cfRule type="cellIs" dxfId="39" priority="6" operator="equal">
      <formula>"スタート"</formula>
    </cfRule>
    <cfRule type="containsText" dxfId="38" priority="12" operator="containsText" text="Y">
      <formula>NOT(ISERROR(SEARCH("Y",F4)))</formula>
    </cfRule>
    <cfRule type="containsText" dxfId="37" priority="13" operator="containsText" text="B">
      <formula>NOT(ISERROR(SEARCH("B",F4)))</formula>
    </cfRule>
    <cfRule type="containsText" dxfId="36" priority="14" operator="containsText" text="X">
      <formula>NOT(ISERROR(SEARCH("X",F4)))</formula>
    </cfRule>
    <cfRule type="containsText" dxfId="35" priority="15" operator="containsText" text="A">
      <formula>NOT(ISERROR(SEARCH("A",F4)))</formula>
    </cfRule>
  </conditionalFormatting>
  <conditionalFormatting sqref="C14">
    <cfRule type="cellIs" dxfId="34" priority="1" operator="equal">
      <formula>"牛お化け"</formula>
    </cfRule>
    <cfRule type="cellIs" dxfId="33" priority="2" operator="equal">
      <formula>"上タヌキ"</formula>
    </cfRule>
    <cfRule type="cellIs" dxfId="32" priority="3" operator="equal">
      <formula>"デカタヌキ"</formula>
    </cfRule>
    <cfRule type="containsText" dxfId="31" priority="4" operator="containsText" text="タヌキ">
      <formula>NOT(ISERROR(SEARCH("タヌキ",C14)))</formula>
    </cfRule>
    <cfRule type="containsText" dxfId="30" priority="5" operator="containsText" text="スタート">
      <formula>NOT(ISERROR(SEARCH("スタート",C14)))</formula>
    </cfRule>
  </conditionalFormatting>
  <dataValidations count="2">
    <dataValidation type="list" allowBlank="1" showInputMessage="1" showErrorMessage="1" sqref="C16:C21 C25:C311 D35:D311 D4:D33 C4:C14 B4:B311">
      <formula1>"タヌキ,牛お化け,上タヌキ,デカタヌキ"</formula1>
    </dataValidation>
    <dataValidation type="list" allowBlank="1" showInputMessage="1" showErrorMessage="1" sqref="F4:H327">
      <formula1>"A,B,X,Y"</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32" r:id="rId4" name="Stage_Long_TenUP">
          <controlPr defaultSize="0" autoLine="0" r:id="rId5">
            <anchor moveWithCells="1">
              <from>
                <xdr:col>11</xdr:col>
                <xdr:colOff>9525</xdr:colOff>
                <xdr:row>1</xdr:row>
                <xdr:rowOff>0</xdr:rowOff>
              </from>
              <to>
                <xdr:col>12</xdr:col>
                <xdr:colOff>28575</xdr:colOff>
                <xdr:row>2</xdr:row>
                <xdr:rowOff>0</xdr:rowOff>
              </to>
            </anchor>
          </controlPr>
        </control>
      </mc:Choice>
      <mc:Fallback>
        <control shapeId="1032" r:id="rId4" name="Stage_Long_TenUP"/>
      </mc:Fallback>
    </mc:AlternateContent>
    <mc:AlternateContent xmlns:mc="http://schemas.openxmlformats.org/markup-compatibility/2006">
      <mc:Choice Requires="x14">
        <control shapeId="1031" r:id="rId6" name="Stage_Long_TenDown">
          <controlPr defaultSize="0" autoLine="0" r:id="rId7">
            <anchor moveWithCells="1">
              <from>
                <xdr:col>11</xdr:col>
                <xdr:colOff>0</xdr:colOff>
                <xdr:row>4</xdr:row>
                <xdr:rowOff>19050</xdr:rowOff>
              </from>
              <to>
                <xdr:col>12</xdr:col>
                <xdr:colOff>19050</xdr:colOff>
                <xdr:row>5</xdr:row>
                <xdr:rowOff>28575</xdr:rowOff>
              </to>
            </anchor>
          </controlPr>
        </control>
      </mc:Choice>
      <mc:Fallback>
        <control shapeId="1031" r:id="rId6" name="Stage_Long_TenDown"/>
      </mc:Fallback>
    </mc:AlternateContent>
    <mc:AlternateContent xmlns:mc="http://schemas.openxmlformats.org/markup-compatibility/2006">
      <mc:Choice Requires="x14">
        <control shapeId="1030" r:id="rId8" name="Stage_Long_OneDown">
          <controlPr defaultSize="0" autoLine="0" r:id="rId9">
            <anchor moveWithCells="1">
              <from>
                <xdr:col>11</xdr:col>
                <xdr:colOff>0</xdr:colOff>
                <xdr:row>2</xdr:row>
                <xdr:rowOff>219075</xdr:rowOff>
              </from>
              <to>
                <xdr:col>12</xdr:col>
                <xdr:colOff>19050</xdr:colOff>
                <xdr:row>3</xdr:row>
                <xdr:rowOff>228600</xdr:rowOff>
              </to>
            </anchor>
          </controlPr>
        </control>
      </mc:Choice>
      <mc:Fallback>
        <control shapeId="1030" r:id="rId8" name="Stage_Long_OneDown"/>
      </mc:Fallback>
    </mc:AlternateContent>
    <mc:AlternateContent xmlns:mc="http://schemas.openxmlformats.org/markup-compatibility/2006">
      <mc:Choice Requires="x14">
        <control shapeId="1029" r:id="rId10" name="Stage_Long_OneUP">
          <controlPr defaultSize="0" autoLine="0" r:id="rId11">
            <anchor moveWithCells="1">
              <from>
                <xdr:col>11</xdr:col>
                <xdr:colOff>0</xdr:colOff>
                <xdr:row>1</xdr:row>
                <xdr:rowOff>219075</xdr:rowOff>
              </from>
              <to>
                <xdr:col>12</xdr:col>
                <xdr:colOff>19050</xdr:colOff>
                <xdr:row>2</xdr:row>
                <xdr:rowOff>219075</xdr:rowOff>
              </to>
            </anchor>
          </controlPr>
        </control>
      </mc:Choice>
      <mc:Fallback>
        <control shapeId="1029" r:id="rId10" name="Stage_Long_OneUP"/>
      </mc:Fallback>
    </mc:AlternateContent>
    <mc:AlternateContent xmlns:mc="http://schemas.openxmlformats.org/markup-compatibility/2006">
      <mc:Choice Requires="x14">
        <control shapeId="1025" r:id="rId12" name="CommandButton1">
          <controlPr defaultSize="0" autoLine="0" r:id="rId13">
            <anchor moveWithCells="1">
              <from>
                <xdr:col>9</xdr:col>
                <xdr:colOff>19050</xdr:colOff>
                <xdr:row>9</xdr:row>
                <xdr:rowOff>19050</xdr:rowOff>
              </from>
              <to>
                <xdr:col>12</xdr:col>
                <xdr:colOff>514350</xdr:colOff>
                <xdr:row>11</xdr:row>
                <xdr:rowOff>209550</xdr:rowOff>
              </to>
            </anchor>
          </controlPr>
        </control>
      </mc:Choice>
      <mc:Fallback>
        <control shapeId="1025" r:id="rId12" name="CommandButton1"/>
      </mc:Fallback>
    </mc:AlternateContent>
    <mc:AlternateContent xmlns:mc="http://schemas.openxmlformats.org/markup-compatibility/2006">
      <mc:Choice Requires="x14">
        <control shapeId="1035" r:id="rId14" name="CommandCheck">
          <controlPr defaultSize="0" autoLine="0" r:id="rId15">
            <anchor moveWithCells="1">
              <from>
                <xdr:col>9</xdr:col>
                <xdr:colOff>9525</xdr:colOff>
                <xdr:row>6</xdr:row>
                <xdr:rowOff>19050</xdr:rowOff>
              </from>
              <to>
                <xdr:col>12</xdr:col>
                <xdr:colOff>590550</xdr:colOff>
                <xdr:row>8</xdr:row>
                <xdr:rowOff>38100</xdr:rowOff>
              </to>
            </anchor>
          </controlPr>
        </control>
      </mc:Choice>
      <mc:Fallback>
        <control shapeId="1035" r:id="rId14" name="CommandCheck"/>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304"/>
  <sheetViews>
    <sheetView zoomScale="85" zoomScaleNormal="85" workbookViewId="0">
      <selection activeCell="H54" sqref="B54:H54"/>
    </sheetView>
  </sheetViews>
  <sheetFormatPr defaultColWidth="8.75" defaultRowHeight="18.75" x14ac:dyDescent="0.4"/>
  <cols>
    <col min="1" max="1" width="8.75" style="12"/>
    <col min="2" max="4" width="11" style="12" bestFit="1" customWidth="1"/>
    <col min="5" max="9" width="8.75" style="12"/>
    <col min="10" max="10" width="10.375" style="12" bestFit="1" customWidth="1"/>
    <col min="11" max="11" width="8.75" style="12"/>
    <col min="12" max="12" width="9.125" style="12" bestFit="1" customWidth="1"/>
    <col min="13" max="14" width="8.75" style="12"/>
    <col min="15" max="15" width="3.125" style="12" customWidth="1"/>
    <col min="16" max="16384" width="8.75" style="12"/>
  </cols>
  <sheetData>
    <row r="1" spans="1:22" ht="36" customHeight="1" thickBot="1" x14ac:dyDescent="0.45">
      <c r="A1" s="37" t="s">
        <v>32</v>
      </c>
      <c r="B1" s="37"/>
      <c r="C1" s="37"/>
      <c r="D1" s="37"/>
      <c r="E1" s="37"/>
      <c r="F1" s="37"/>
      <c r="G1" s="37"/>
      <c r="H1" s="37"/>
      <c r="I1" s="37"/>
      <c r="J1" s="37"/>
    </row>
    <row r="2" spans="1:22" ht="19.5" thickBot="1" x14ac:dyDescent="0.45">
      <c r="A2" s="11"/>
      <c r="B2" s="30" t="s">
        <v>3</v>
      </c>
      <c r="F2" s="31" t="s">
        <v>42</v>
      </c>
      <c r="P2" s="27" t="s">
        <v>14</v>
      </c>
      <c r="Q2" s="28"/>
      <c r="R2" s="28"/>
      <c r="S2" s="28"/>
      <c r="T2" s="28"/>
      <c r="U2" s="28"/>
      <c r="V2" s="29"/>
    </row>
    <row r="3" spans="1:22" ht="18.75" customHeight="1" x14ac:dyDescent="0.4">
      <c r="B3" s="51" t="s">
        <v>43</v>
      </c>
      <c r="C3" s="51"/>
      <c r="D3" s="51"/>
      <c r="F3" s="51" t="s">
        <v>1</v>
      </c>
      <c r="G3" s="51"/>
      <c r="H3" s="51"/>
      <c r="J3" s="52" t="s">
        <v>0</v>
      </c>
      <c r="K3" s="52"/>
      <c r="P3" s="18" t="s">
        <v>18</v>
      </c>
      <c r="Q3" s="16"/>
      <c r="R3" s="16"/>
      <c r="S3" s="16"/>
      <c r="T3" s="16"/>
      <c r="U3" s="16"/>
      <c r="V3" s="19"/>
    </row>
    <row r="4" spans="1:22" x14ac:dyDescent="0.4">
      <c r="B4" s="1" t="s">
        <v>5</v>
      </c>
      <c r="C4" s="2" t="s">
        <v>15</v>
      </c>
      <c r="D4" s="3" t="s">
        <v>5</v>
      </c>
      <c r="E4" s="32"/>
      <c r="F4" s="1" t="s">
        <v>41</v>
      </c>
      <c r="G4" s="2" t="s">
        <v>40</v>
      </c>
      <c r="H4" s="3" t="s">
        <v>16</v>
      </c>
      <c r="I4" s="7"/>
      <c r="J4" s="53">
        <v>85</v>
      </c>
      <c r="K4" s="53"/>
      <c r="L4" s="7"/>
      <c r="M4" s="7"/>
      <c r="N4" s="7"/>
      <c r="O4" s="7"/>
      <c r="P4" s="20"/>
      <c r="Q4" s="16"/>
      <c r="R4" s="16"/>
      <c r="S4" s="16"/>
      <c r="T4" s="16"/>
      <c r="U4" s="16"/>
      <c r="V4" s="19"/>
    </row>
    <row r="5" spans="1:22" x14ac:dyDescent="0.4">
      <c r="B5" s="9" t="s">
        <v>6</v>
      </c>
      <c r="C5" s="8"/>
      <c r="D5" s="10"/>
      <c r="E5" s="32"/>
      <c r="F5" s="4" t="s">
        <v>39</v>
      </c>
      <c r="G5" s="34"/>
      <c r="H5" s="6"/>
      <c r="I5" s="7"/>
      <c r="J5" s="7"/>
      <c r="K5" s="7"/>
      <c r="L5" s="7"/>
      <c r="M5" s="7"/>
      <c r="N5" s="7"/>
      <c r="O5" s="7"/>
      <c r="P5" s="18" t="s">
        <v>19</v>
      </c>
      <c r="Q5" s="16"/>
      <c r="R5" s="16"/>
      <c r="S5" s="16"/>
      <c r="T5" s="16"/>
      <c r="U5" s="16"/>
      <c r="V5" s="19"/>
    </row>
    <row r="6" spans="1:22" x14ac:dyDescent="0.4">
      <c r="B6" s="4"/>
      <c r="C6" s="34"/>
      <c r="D6" s="10"/>
      <c r="E6" s="32"/>
      <c r="F6" s="4"/>
      <c r="G6" s="34" t="s">
        <v>16</v>
      </c>
      <c r="H6" s="6" t="s">
        <v>39</v>
      </c>
      <c r="I6" s="7"/>
      <c r="J6" s="7"/>
      <c r="K6" s="7"/>
      <c r="L6" s="7"/>
      <c r="M6" s="7"/>
      <c r="N6" s="7"/>
      <c r="O6" s="7"/>
      <c r="P6" s="18" t="s">
        <v>20</v>
      </c>
      <c r="Q6" s="16"/>
      <c r="R6" s="16"/>
      <c r="S6" s="16"/>
      <c r="T6" s="16"/>
      <c r="U6" s="16"/>
      <c r="V6" s="19"/>
    </row>
    <row r="7" spans="1:22" x14ac:dyDescent="0.4">
      <c r="B7" s="4" t="s">
        <v>6</v>
      </c>
      <c r="C7" s="34"/>
      <c r="D7" s="10" t="s">
        <v>6</v>
      </c>
      <c r="E7" s="32"/>
      <c r="F7" s="4" t="s">
        <v>41</v>
      </c>
      <c r="G7" s="34"/>
      <c r="H7" s="6" t="s">
        <v>16</v>
      </c>
      <c r="I7" s="7"/>
      <c r="J7" s="7"/>
      <c r="K7" s="7"/>
      <c r="L7" s="7"/>
      <c r="M7" s="7"/>
      <c r="N7" s="7"/>
      <c r="O7" s="7"/>
      <c r="P7" s="18" t="s">
        <v>21</v>
      </c>
      <c r="Q7" s="17"/>
      <c r="R7" s="17"/>
      <c r="S7" s="17"/>
      <c r="T7" s="17"/>
      <c r="U7" s="16"/>
      <c r="V7" s="19"/>
    </row>
    <row r="8" spans="1:22" x14ac:dyDescent="0.4">
      <c r="B8" s="4"/>
      <c r="C8" s="34" t="s">
        <v>6</v>
      </c>
      <c r="D8" s="10"/>
      <c r="E8" s="32"/>
      <c r="F8" s="4"/>
      <c r="G8" s="34" t="s">
        <v>39</v>
      </c>
      <c r="H8" s="6"/>
      <c r="I8" s="7"/>
      <c r="J8" s="7"/>
      <c r="K8" s="7"/>
      <c r="L8" s="7"/>
      <c r="M8" s="7"/>
      <c r="N8" s="7"/>
      <c r="O8" s="7"/>
      <c r="P8" s="21"/>
      <c r="Q8" s="7"/>
      <c r="R8" s="7"/>
      <c r="S8" s="7"/>
      <c r="T8" s="7"/>
      <c r="U8" s="7"/>
      <c r="V8" s="22"/>
    </row>
    <row r="9" spans="1:22" x14ac:dyDescent="0.4">
      <c r="B9" s="4" t="s">
        <v>6</v>
      </c>
      <c r="C9" s="34"/>
      <c r="D9" s="10"/>
      <c r="E9" s="32"/>
      <c r="F9" s="4" t="s">
        <v>41</v>
      </c>
      <c r="G9" s="34"/>
      <c r="H9" s="6"/>
      <c r="I9" s="7"/>
      <c r="J9" s="7"/>
      <c r="K9" s="7"/>
      <c r="L9" s="7"/>
      <c r="M9" s="7"/>
      <c r="N9" s="7"/>
      <c r="O9" s="7"/>
      <c r="P9" s="21" t="s">
        <v>22</v>
      </c>
      <c r="Q9" s="7"/>
      <c r="R9" s="7"/>
      <c r="S9" s="7"/>
      <c r="T9" s="7"/>
      <c r="U9" s="7"/>
      <c r="V9" s="22"/>
    </row>
    <row r="10" spans="1:22" ht="18.75" customHeight="1" x14ac:dyDescent="0.4">
      <c r="B10" s="4"/>
      <c r="C10" s="34" t="s">
        <v>34</v>
      </c>
      <c r="D10" s="10" t="s">
        <v>34</v>
      </c>
      <c r="E10" s="32"/>
      <c r="F10" s="4"/>
      <c r="G10" s="34" t="s">
        <v>16</v>
      </c>
      <c r="H10" s="6" t="s">
        <v>40</v>
      </c>
      <c r="I10" s="7"/>
      <c r="J10" s="7"/>
      <c r="K10" s="7"/>
      <c r="L10" s="7"/>
      <c r="M10" s="7"/>
      <c r="N10" s="7"/>
      <c r="O10" s="7"/>
      <c r="P10" s="18" t="s">
        <v>23</v>
      </c>
      <c r="Q10" s="17"/>
      <c r="R10" s="17"/>
      <c r="S10" s="17"/>
      <c r="T10" s="17"/>
      <c r="U10" s="17"/>
      <c r="V10" s="23"/>
    </row>
    <row r="11" spans="1:22" x14ac:dyDescent="0.4">
      <c r="B11" s="4" t="s">
        <v>6</v>
      </c>
      <c r="C11" s="34" t="s">
        <v>6</v>
      </c>
      <c r="D11" s="10"/>
      <c r="E11" s="32"/>
      <c r="F11" s="4" t="s">
        <v>16</v>
      </c>
      <c r="G11" s="34" t="s">
        <v>40</v>
      </c>
      <c r="H11" s="6"/>
      <c r="I11" s="7"/>
      <c r="J11" s="7"/>
      <c r="K11" s="7"/>
      <c r="L11" s="7"/>
      <c r="M11" s="7"/>
      <c r="N11" s="7"/>
      <c r="O11" s="7"/>
      <c r="P11" s="18" t="s">
        <v>26</v>
      </c>
      <c r="Q11" s="17"/>
      <c r="R11" s="17"/>
      <c r="S11" s="17"/>
      <c r="T11" s="17"/>
      <c r="U11" s="17"/>
      <c r="V11" s="23"/>
    </row>
    <row r="12" spans="1:22" x14ac:dyDescent="0.4">
      <c r="B12" s="9"/>
      <c r="C12" s="8"/>
      <c r="D12" s="10"/>
      <c r="E12" s="32"/>
      <c r="F12" s="4"/>
      <c r="G12" s="34"/>
      <c r="H12" s="6"/>
      <c r="I12" s="7"/>
      <c r="J12" s="7"/>
      <c r="K12" s="7"/>
      <c r="L12" s="7"/>
      <c r="M12" s="7"/>
      <c r="N12" s="7"/>
      <c r="O12" s="7"/>
      <c r="P12" s="21" t="s">
        <v>24</v>
      </c>
      <c r="Q12" s="7"/>
      <c r="R12" s="7"/>
      <c r="S12" s="7"/>
      <c r="T12" s="7"/>
      <c r="U12" s="7"/>
      <c r="V12" s="22"/>
    </row>
    <row r="13" spans="1:22" x14ac:dyDescent="0.4">
      <c r="B13" s="4"/>
      <c r="C13" s="34"/>
      <c r="D13" s="10"/>
      <c r="E13" s="32"/>
      <c r="F13" s="4"/>
      <c r="G13" s="34"/>
      <c r="H13" s="6"/>
      <c r="I13" s="7"/>
      <c r="J13" s="7"/>
      <c r="K13" s="7"/>
      <c r="L13" s="7"/>
      <c r="M13" s="7"/>
      <c r="N13" s="7"/>
      <c r="O13" s="7"/>
      <c r="P13" s="21" t="s">
        <v>25</v>
      </c>
      <c r="Q13" s="7"/>
      <c r="R13" s="7"/>
      <c r="S13" s="7"/>
      <c r="T13" s="7"/>
      <c r="U13" s="7"/>
      <c r="V13" s="22"/>
    </row>
    <row r="14" spans="1:22" x14ac:dyDescent="0.4">
      <c r="B14" s="4"/>
      <c r="C14" s="34"/>
      <c r="D14" s="10"/>
      <c r="E14" s="32"/>
      <c r="F14" s="4"/>
      <c r="G14" s="34"/>
      <c r="H14" s="6"/>
      <c r="I14" s="7"/>
      <c r="J14" s="32"/>
      <c r="K14" s="7"/>
      <c r="L14" s="7"/>
      <c r="M14" s="7"/>
      <c r="N14" s="7"/>
      <c r="O14" s="7"/>
      <c r="P14" s="21" t="s">
        <v>27</v>
      </c>
      <c r="Q14" s="7"/>
      <c r="R14" s="7"/>
      <c r="S14" s="7"/>
      <c r="T14" s="7"/>
      <c r="U14" s="7"/>
      <c r="V14" s="22"/>
    </row>
    <row r="15" spans="1:22" ht="19.5" thickBot="1" x14ac:dyDescent="0.45">
      <c r="B15" s="4" t="s">
        <v>17</v>
      </c>
      <c r="C15" s="34"/>
      <c r="D15" s="10"/>
      <c r="E15" s="32"/>
      <c r="F15" s="4" t="s">
        <v>41</v>
      </c>
      <c r="G15" s="34"/>
      <c r="H15" s="6"/>
      <c r="I15" s="7"/>
      <c r="J15" s="32" t="s">
        <v>37</v>
      </c>
      <c r="L15" s="7"/>
      <c r="M15" s="7" t="s">
        <v>12</v>
      </c>
      <c r="P15" s="21" t="s">
        <v>28</v>
      </c>
      <c r="Q15" s="7"/>
      <c r="R15" s="7"/>
      <c r="S15" s="7"/>
      <c r="T15" s="7"/>
      <c r="U15" s="7"/>
      <c r="V15" s="22"/>
    </row>
    <row r="16" spans="1:22" x14ac:dyDescent="0.4">
      <c r="B16" s="4"/>
      <c r="C16" s="34"/>
      <c r="D16" s="10"/>
      <c r="E16" s="32"/>
      <c r="F16" s="4"/>
      <c r="G16" s="34"/>
      <c r="H16" s="6"/>
      <c r="I16" s="7"/>
      <c r="J16" s="38" t="s">
        <v>45</v>
      </c>
      <c r="K16" s="47">
        <f>COUNTIF(B4:D314, "タヌキ")</f>
        <v>14</v>
      </c>
      <c r="L16" s="7"/>
      <c r="M16" s="38" t="s">
        <v>46</v>
      </c>
      <c r="N16" s="42">
        <f>COUNTIF(F4:H312,"A")</f>
        <v>11</v>
      </c>
      <c r="P16" s="21"/>
      <c r="Q16" s="7"/>
      <c r="R16" s="7"/>
      <c r="S16" s="7"/>
      <c r="T16" s="7"/>
      <c r="U16" s="7"/>
      <c r="V16" s="22"/>
    </row>
    <row r="17" spans="2:22" x14ac:dyDescent="0.4">
      <c r="B17" s="4"/>
      <c r="C17" s="34" t="s">
        <v>17</v>
      </c>
      <c r="D17" s="10"/>
      <c r="E17" s="32"/>
      <c r="F17" s="4"/>
      <c r="G17" s="34" t="s">
        <v>39</v>
      </c>
      <c r="H17" s="6"/>
      <c r="I17" s="7"/>
      <c r="J17" s="39"/>
      <c r="K17" s="48"/>
      <c r="L17" s="7"/>
      <c r="M17" s="39"/>
      <c r="N17" s="40"/>
      <c r="P17" s="21" t="s">
        <v>29</v>
      </c>
      <c r="Q17" s="7"/>
      <c r="R17" s="7"/>
      <c r="S17" s="7"/>
      <c r="T17" s="7"/>
      <c r="U17" s="7"/>
      <c r="V17" s="22"/>
    </row>
    <row r="18" spans="2:22" x14ac:dyDescent="0.4">
      <c r="B18" s="4"/>
      <c r="C18" s="34"/>
      <c r="D18" s="10"/>
      <c r="E18" s="32"/>
      <c r="F18" s="4"/>
      <c r="G18" s="34"/>
      <c r="H18" s="6"/>
      <c r="I18" s="7"/>
      <c r="J18" s="49" t="s">
        <v>33</v>
      </c>
      <c r="K18" s="48">
        <f>COUNTIF(B4:D314, "牛お化け")</f>
        <v>5</v>
      </c>
      <c r="L18" s="7"/>
      <c r="M18" s="46" t="s">
        <v>47</v>
      </c>
      <c r="N18" s="40">
        <f>COUNTIF(F:H,"B")</f>
        <v>11</v>
      </c>
      <c r="P18" s="21" t="s">
        <v>30</v>
      </c>
      <c r="Q18" s="7"/>
      <c r="R18" s="7"/>
      <c r="S18" s="7"/>
      <c r="T18" s="7"/>
      <c r="U18" s="7"/>
      <c r="V18" s="22"/>
    </row>
    <row r="19" spans="2:22" ht="19.5" thickBot="1" x14ac:dyDescent="0.45">
      <c r="B19" s="4"/>
      <c r="C19" s="34" t="s">
        <v>6</v>
      </c>
      <c r="D19" s="10"/>
      <c r="E19" s="11"/>
      <c r="F19" s="4"/>
      <c r="G19" s="34" t="s">
        <v>39</v>
      </c>
      <c r="H19" s="6"/>
      <c r="J19" s="49"/>
      <c r="K19" s="48"/>
      <c r="M19" s="46"/>
      <c r="N19" s="40"/>
      <c r="P19" s="24" t="s">
        <v>31</v>
      </c>
      <c r="Q19" s="25"/>
      <c r="R19" s="25"/>
      <c r="S19" s="25"/>
      <c r="T19" s="25"/>
      <c r="U19" s="25"/>
      <c r="V19" s="26"/>
    </row>
    <row r="20" spans="2:22" x14ac:dyDescent="0.4">
      <c r="B20" s="4"/>
      <c r="C20" s="34"/>
      <c r="D20" s="10" t="s">
        <v>6</v>
      </c>
      <c r="E20" s="11"/>
      <c r="F20" s="4"/>
      <c r="G20" s="34"/>
      <c r="H20" s="6" t="s">
        <v>40</v>
      </c>
      <c r="J20" s="46" t="s">
        <v>35</v>
      </c>
      <c r="K20" s="48">
        <f>COUNTIF(B4:D316, "上タヌキ")</f>
        <v>14</v>
      </c>
      <c r="M20" s="45" t="s">
        <v>48</v>
      </c>
      <c r="N20" s="40">
        <f>COUNTIF(F:H,"X")</f>
        <v>6</v>
      </c>
    </row>
    <row r="21" spans="2:22" x14ac:dyDescent="0.4">
      <c r="B21" s="4"/>
      <c r="C21" s="34"/>
      <c r="D21" s="10"/>
      <c r="E21" s="11"/>
      <c r="F21" s="4"/>
      <c r="G21" s="34"/>
      <c r="H21" s="6"/>
      <c r="J21" s="46"/>
      <c r="K21" s="48"/>
      <c r="M21" s="45"/>
      <c r="N21" s="40"/>
    </row>
    <row r="22" spans="2:22" x14ac:dyDescent="0.4">
      <c r="B22" s="4"/>
      <c r="C22" s="34" t="s">
        <v>6</v>
      </c>
      <c r="D22" s="10"/>
      <c r="E22" s="11"/>
      <c r="F22" s="4"/>
      <c r="G22" s="34" t="s">
        <v>41</v>
      </c>
      <c r="H22" s="6"/>
      <c r="J22" s="45" t="s">
        <v>5</v>
      </c>
      <c r="K22" s="48">
        <f>COUNTIF(B4:D318, "デカタヌキ")</f>
        <v>3</v>
      </c>
      <c r="M22" s="43" t="s">
        <v>8</v>
      </c>
      <c r="N22" s="40">
        <f>COUNTIF(F:H, "Y")</f>
        <v>10</v>
      </c>
    </row>
    <row r="23" spans="2:22" ht="19.5" thickBot="1" x14ac:dyDescent="0.45">
      <c r="B23" s="4"/>
      <c r="C23" s="34"/>
      <c r="D23" s="10" t="s">
        <v>6</v>
      </c>
      <c r="E23" s="11"/>
      <c r="F23" s="4"/>
      <c r="G23" s="34"/>
      <c r="H23" s="6" t="s">
        <v>16</v>
      </c>
      <c r="J23" s="50"/>
      <c r="K23" s="54"/>
      <c r="M23" s="44"/>
      <c r="N23" s="41"/>
    </row>
    <row r="24" spans="2:22" x14ac:dyDescent="0.4">
      <c r="B24" s="4"/>
      <c r="C24" s="34"/>
      <c r="D24" s="10"/>
      <c r="E24" s="11"/>
      <c r="F24" s="4"/>
      <c r="G24" s="34"/>
      <c r="H24" s="6"/>
    </row>
    <row r="25" spans="2:22" x14ac:dyDescent="0.4">
      <c r="B25" s="4"/>
      <c r="C25" s="34"/>
      <c r="D25" s="10" t="s">
        <v>34</v>
      </c>
      <c r="E25" s="11"/>
      <c r="F25" s="4"/>
      <c r="G25" s="34"/>
      <c r="H25" s="6" t="s">
        <v>41</v>
      </c>
      <c r="J25" s="12">
        <f>K16*1</f>
        <v>14</v>
      </c>
    </row>
    <row r="26" spans="2:22" x14ac:dyDescent="0.4">
      <c r="B26" s="4"/>
      <c r="C26" s="34" t="s">
        <v>34</v>
      </c>
      <c r="D26" s="10"/>
      <c r="E26" s="11"/>
      <c r="F26" s="4"/>
      <c r="G26" s="34" t="s">
        <v>40</v>
      </c>
      <c r="H26" s="6"/>
      <c r="J26" s="12">
        <f>K18*3</f>
        <v>15</v>
      </c>
    </row>
    <row r="27" spans="2:22" x14ac:dyDescent="0.4">
      <c r="B27" s="4" t="s">
        <v>34</v>
      </c>
      <c r="C27" s="34"/>
      <c r="D27" s="10"/>
      <c r="E27" s="11"/>
      <c r="F27" s="4" t="s">
        <v>39</v>
      </c>
      <c r="G27" s="34"/>
      <c r="H27" s="6"/>
      <c r="J27" s="12">
        <f>2*2</f>
        <v>4</v>
      </c>
      <c r="L27" s="12">
        <f>SUM(J25:J27)</f>
        <v>33</v>
      </c>
    </row>
    <row r="28" spans="2:22" x14ac:dyDescent="0.4">
      <c r="B28" s="4"/>
      <c r="C28" s="34"/>
      <c r="D28" s="10"/>
      <c r="E28" s="11"/>
      <c r="F28" s="4"/>
      <c r="G28" s="34"/>
      <c r="H28" s="6"/>
      <c r="J28" s="12">
        <f>4*6</f>
        <v>24</v>
      </c>
    </row>
    <row r="29" spans="2:22" x14ac:dyDescent="0.4">
      <c r="B29" s="4"/>
      <c r="C29" s="34"/>
      <c r="D29" s="10"/>
      <c r="E29" s="11"/>
      <c r="F29" s="4"/>
      <c r="G29" s="34"/>
      <c r="H29" s="6"/>
    </row>
    <row r="30" spans="2:22" x14ac:dyDescent="0.4">
      <c r="B30" s="4"/>
      <c r="C30" s="34"/>
      <c r="D30" s="10"/>
      <c r="E30" s="11"/>
      <c r="F30" s="4"/>
      <c r="G30" s="34"/>
      <c r="H30" s="6"/>
    </row>
    <row r="31" spans="2:22" x14ac:dyDescent="0.4">
      <c r="B31" s="4"/>
      <c r="C31" s="34"/>
      <c r="D31" s="10"/>
      <c r="E31" s="11"/>
      <c r="F31" s="4"/>
      <c r="G31" s="34"/>
      <c r="H31" s="6"/>
    </row>
    <row r="32" spans="2:22" x14ac:dyDescent="0.4">
      <c r="B32" s="4"/>
      <c r="C32" s="34" t="s">
        <v>17</v>
      </c>
      <c r="D32" s="10"/>
      <c r="E32" s="11"/>
      <c r="F32" s="4"/>
      <c r="G32" s="34" t="s">
        <v>16</v>
      </c>
      <c r="H32" s="6"/>
    </row>
    <row r="33" spans="2:8" x14ac:dyDescent="0.4">
      <c r="B33" s="4"/>
      <c r="C33" s="34"/>
      <c r="D33" s="10"/>
      <c r="E33" s="11"/>
      <c r="F33" s="4"/>
      <c r="G33" s="34"/>
      <c r="H33" s="6"/>
    </row>
    <row r="34" spans="2:8" x14ac:dyDescent="0.4">
      <c r="B34" s="4" t="s">
        <v>6</v>
      </c>
      <c r="C34" s="34" t="s">
        <v>6</v>
      </c>
      <c r="D34" s="10" t="s">
        <v>6</v>
      </c>
      <c r="E34" s="11"/>
      <c r="F34" s="4" t="s">
        <v>40</v>
      </c>
      <c r="G34" s="34" t="s">
        <v>41</v>
      </c>
      <c r="H34" s="6" t="s">
        <v>39</v>
      </c>
    </row>
    <row r="35" spans="2:8" x14ac:dyDescent="0.4">
      <c r="B35" s="4"/>
      <c r="C35" s="34"/>
      <c r="D35" s="10"/>
      <c r="E35" s="11"/>
      <c r="F35" s="4"/>
      <c r="G35" s="34"/>
      <c r="H35" s="6"/>
    </row>
    <row r="36" spans="2:8" x14ac:dyDescent="0.4">
      <c r="B36" s="4"/>
      <c r="C36" s="34"/>
      <c r="D36" s="6"/>
      <c r="E36" s="11"/>
      <c r="F36" s="4"/>
      <c r="G36" s="34"/>
      <c r="H36" s="6"/>
    </row>
    <row r="37" spans="2:8" x14ac:dyDescent="0.4">
      <c r="B37" s="4"/>
      <c r="C37" s="34"/>
      <c r="D37" s="6"/>
      <c r="E37" s="11"/>
      <c r="F37" s="4"/>
      <c r="G37" s="34"/>
      <c r="H37" s="6"/>
    </row>
    <row r="38" spans="2:8" x14ac:dyDescent="0.4">
      <c r="B38" s="4"/>
      <c r="C38" s="34"/>
      <c r="D38" s="6"/>
      <c r="E38" s="35"/>
      <c r="F38" s="4"/>
      <c r="G38" s="34"/>
      <c r="H38" s="6"/>
    </row>
    <row r="39" spans="2:8" x14ac:dyDescent="0.4">
      <c r="B39" s="4"/>
      <c r="C39" s="34"/>
      <c r="D39" s="6" t="s">
        <v>17</v>
      </c>
      <c r="E39" s="11"/>
      <c r="F39" s="4"/>
      <c r="G39" s="34"/>
      <c r="H39" s="6" t="s">
        <v>16</v>
      </c>
    </row>
    <row r="40" spans="2:8" x14ac:dyDescent="0.4">
      <c r="B40" s="4"/>
      <c r="C40" s="34"/>
      <c r="D40" s="6"/>
      <c r="E40" s="11"/>
      <c r="F40" s="4"/>
      <c r="G40" s="34"/>
      <c r="H40" s="6"/>
    </row>
    <row r="41" spans="2:8" x14ac:dyDescent="0.4">
      <c r="B41" s="4" t="s">
        <v>17</v>
      </c>
      <c r="C41" s="34"/>
      <c r="D41" s="6"/>
      <c r="E41" s="11"/>
      <c r="F41" s="4" t="s">
        <v>39</v>
      </c>
      <c r="G41" s="34"/>
      <c r="H41" s="6"/>
    </row>
    <row r="42" spans="2:8" x14ac:dyDescent="0.4">
      <c r="B42" s="4"/>
      <c r="C42" s="34"/>
      <c r="D42" s="6"/>
      <c r="E42" s="11"/>
      <c r="F42" s="4"/>
      <c r="G42" s="34"/>
      <c r="H42" s="6"/>
    </row>
    <row r="43" spans="2:8" x14ac:dyDescent="0.4">
      <c r="B43" s="4"/>
      <c r="C43" s="34"/>
      <c r="D43" s="6"/>
      <c r="E43" s="11"/>
      <c r="F43" s="4"/>
      <c r="G43" s="34"/>
      <c r="H43" s="6"/>
    </row>
    <row r="44" spans="2:8" x14ac:dyDescent="0.4">
      <c r="B44" s="4"/>
      <c r="C44" s="34"/>
      <c r="D44" s="6"/>
      <c r="E44" s="11"/>
      <c r="F44" s="4"/>
      <c r="G44" s="34"/>
      <c r="H44" s="6"/>
    </row>
    <row r="45" spans="2:8" x14ac:dyDescent="0.4">
      <c r="B45" s="4"/>
      <c r="C45" s="34"/>
      <c r="D45" s="6"/>
      <c r="E45" s="11"/>
      <c r="F45" s="4"/>
      <c r="G45" s="34"/>
      <c r="H45" s="6"/>
    </row>
    <row r="46" spans="2:8" x14ac:dyDescent="0.4">
      <c r="B46" s="9"/>
      <c r="C46" s="8"/>
      <c r="D46" s="10"/>
      <c r="E46" s="11"/>
      <c r="F46" s="4"/>
      <c r="G46" s="34"/>
      <c r="H46" s="6"/>
    </row>
    <row r="47" spans="2:8" x14ac:dyDescent="0.4">
      <c r="B47" s="4"/>
      <c r="C47" s="34"/>
      <c r="D47" s="6"/>
      <c r="E47" s="11"/>
      <c r="F47" s="4"/>
      <c r="G47" s="34"/>
      <c r="H47" s="6"/>
    </row>
    <row r="48" spans="2:8" x14ac:dyDescent="0.4">
      <c r="B48" s="4"/>
      <c r="C48" s="34"/>
      <c r="D48" s="6"/>
      <c r="E48" s="11"/>
      <c r="F48" s="4"/>
      <c r="G48" s="34"/>
      <c r="H48" s="6"/>
    </row>
    <row r="49" spans="2:8" x14ac:dyDescent="0.4">
      <c r="B49" s="4"/>
      <c r="C49" s="34"/>
      <c r="D49" s="6"/>
      <c r="E49" s="11"/>
      <c r="F49" s="4"/>
      <c r="G49" s="34"/>
      <c r="H49" s="6"/>
    </row>
    <row r="50" spans="2:8" x14ac:dyDescent="0.4">
      <c r="B50" s="4"/>
      <c r="C50" s="34"/>
      <c r="D50" s="6"/>
      <c r="E50" s="11"/>
      <c r="F50" s="4"/>
      <c r="G50" s="34"/>
      <c r="H50" s="6"/>
    </row>
    <row r="51" spans="2:8" x14ac:dyDescent="0.4">
      <c r="B51" s="4"/>
      <c r="C51" s="34"/>
      <c r="D51" s="6"/>
      <c r="E51" s="11"/>
      <c r="F51" s="4"/>
      <c r="G51" s="34"/>
      <c r="H51" s="6"/>
    </row>
    <row r="52" spans="2:8" x14ac:dyDescent="0.4">
      <c r="B52" s="4"/>
      <c r="C52" s="34"/>
      <c r="D52" s="6"/>
      <c r="E52" s="11"/>
      <c r="F52" s="4"/>
      <c r="G52" s="34"/>
      <c r="H52" s="6"/>
    </row>
    <row r="53" spans="2:8" x14ac:dyDescent="0.4">
      <c r="B53" s="4"/>
      <c r="C53" s="34"/>
      <c r="D53" s="6"/>
      <c r="E53" s="11"/>
      <c r="F53" s="4"/>
      <c r="G53" s="34"/>
      <c r="H53" s="6"/>
    </row>
    <row r="54" spans="2:8" x14ac:dyDescent="0.4">
      <c r="B54" s="4"/>
      <c r="C54" s="34"/>
      <c r="D54" s="6"/>
      <c r="E54" s="11"/>
      <c r="F54" s="4"/>
      <c r="G54" s="34"/>
      <c r="H54" s="6"/>
    </row>
    <row r="55" spans="2:8" x14ac:dyDescent="0.4">
      <c r="B55" s="4"/>
      <c r="C55" s="34"/>
      <c r="D55" s="6"/>
      <c r="E55" s="11"/>
      <c r="F55" s="4"/>
      <c r="G55" s="34"/>
      <c r="H55" s="6"/>
    </row>
    <row r="56" spans="2:8" x14ac:dyDescent="0.4">
      <c r="B56" s="4"/>
      <c r="C56" s="34"/>
      <c r="D56" s="6"/>
      <c r="E56" s="11"/>
      <c r="F56" s="4"/>
      <c r="G56" s="34"/>
      <c r="H56" s="6"/>
    </row>
    <row r="57" spans="2:8" x14ac:dyDescent="0.4">
      <c r="B57" s="4" t="s">
        <v>34</v>
      </c>
      <c r="C57" s="34" t="s">
        <v>34</v>
      </c>
      <c r="D57" s="6" t="s">
        <v>34</v>
      </c>
      <c r="E57" s="11"/>
      <c r="F57" s="4" t="s">
        <v>41</v>
      </c>
      <c r="G57" s="34" t="s">
        <v>41</v>
      </c>
      <c r="H57" s="6" t="s">
        <v>41</v>
      </c>
    </row>
    <row r="58" spans="2:8" x14ac:dyDescent="0.4">
      <c r="B58" s="4"/>
      <c r="C58" s="34"/>
      <c r="D58" s="6"/>
      <c r="E58" s="11"/>
      <c r="F58" s="4"/>
      <c r="G58" s="34"/>
      <c r="H58" s="6"/>
    </row>
    <row r="59" spans="2:8" x14ac:dyDescent="0.4">
      <c r="B59" s="4"/>
      <c r="C59" s="34"/>
      <c r="D59" s="6"/>
      <c r="E59" s="11"/>
      <c r="F59" s="4"/>
      <c r="G59" s="34"/>
      <c r="H59" s="6"/>
    </row>
    <row r="60" spans="2:8" x14ac:dyDescent="0.4">
      <c r="B60" s="4"/>
      <c r="C60" s="34"/>
      <c r="D60" s="6"/>
      <c r="E60" s="11"/>
      <c r="F60" s="4"/>
      <c r="G60" s="34"/>
      <c r="H60" s="6"/>
    </row>
    <row r="61" spans="2:8" x14ac:dyDescent="0.4">
      <c r="B61" s="4"/>
      <c r="C61" s="34"/>
      <c r="D61" s="6"/>
      <c r="E61" s="11"/>
      <c r="F61" s="4"/>
      <c r="G61" s="34"/>
      <c r="H61" s="6"/>
    </row>
    <row r="62" spans="2:8" x14ac:dyDescent="0.4">
      <c r="B62" s="4"/>
      <c r="C62" s="34"/>
      <c r="D62" s="6"/>
      <c r="E62" s="11"/>
      <c r="F62" s="4"/>
      <c r="G62" s="34"/>
      <c r="H62" s="6"/>
    </row>
    <row r="63" spans="2:8" x14ac:dyDescent="0.4">
      <c r="B63" s="4"/>
      <c r="C63" s="34"/>
      <c r="D63" s="6"/>
      <c r="E63" s="11"/>
      <c r="F63" s="4"/>
      <c r="G63" s="34"/>
      <c r="H63" s="6"/>
    </row>
    <row r="64" spans="2:8" x14ac:dyDescent="0.4">
      <c r="B64" s="4"/>
      <c r="C64" s="34"/>
      <c r="D64" s="6"/>
      <c r="E64" s="11"/>
      <c r="F64" s="4"/>
      <c r="G64" s="34"/>
      <c r="H64" s="6"/>
    </row>
    <row r="65" spans="2:8" x14ac:dyDescent="0.4">
      <c r="B65" s="4"/>
      <c r="C65" s="34"/>
      <c r="D65" s="6"/>
      <c r="E65" s="11"/>
      <c r="F65" s="4"/>
      <c r="G65" s="34"/>
      <c r="H65" s="6"/>
    </row>
    <row r="66" spans="2:8" x14ac:dyDescent="0.4">
      <c r="B66" s="4" t="s">
        <v>34</v>
      </c>
      <c r="C66" s="34" t="s">
        <v>34</v>
      </c>
      <c r="D66" s="6" t="s">
        <v>34</v>
      </c>
      <c r="E66" s="11"/>
      <c r="F66" s="4" t="s">
        <v>39</v>
      </c>
      <c r="G66" s="34" t="s">
        <v>39</v>
      </c>
      <c r="H66" s="6" t="s">
        <v>39</v>
      </c>
    </row>
    <row r="67" spans="2:8" x14ac:dyDescent="0.4">
      <c r="B67" s="4"/>
      <c r="C67" s="34"/>
      <c r="D67" s="6"/>
      <c r="E67" s="11"/>
      <c r="F67" s="4"/>
      <c r="G67" s="34"/>
      <c r="H67" s="6"/>
    </row>
    <row r="68" spans="2:8" x14ac:dyDescent="0.4">
      <c r="B68" s="4"/>
      <c r="C68" s="34"/>
      <c r="D68" s="6"/>
      <c r="E68" s="11"/>
      <c r="F68" s="4"/>
      <c r="G68" s="34"/>
      <c r="H68" s="6"/>
    </row>
    <row r="69" spans="2:8" x14ac:dyDescent="0.4">
      <c r="B69" s="4"/>
      <c r="C69" s="34"/>
      <c r="D69" s="6"/>
      <c r="E69" s="11"/>
      <c r="F69" s="4"/>
      <c r="G69" s="34"/>
      <c r="H69" s="6"/>
    </row>
    <row r="70" spans="2:8" x14ac:dyDescent="0.4">
      <c r="B70" s="4"/>
      <c r="C70" s="34"/>
      <c r="D70" s="6"/>
      <c r="E70" s="11"/>
      <c r="F70" s="4"/>
      <c r="G70" s="34"/>
      <c r="H70" s="6"/>
    </row>
    <row r="71" spans="2:8" x14ac:dyDescent="0.4">
      <c r="B71" s="4"/>
      <c r="C71" s="34"/>
      <c r="D71" s="6"/>
      <c r="E71" s="11"/>
      <c r="F71" s="4"/>
      <c r="G71" s="34"/>
      <c r="H71" s="6"/>
    </row>
    <row r="72" spans="2:8" x14ac:dyDescent="0.4">
      <c r="B72" s="4"/>
      <c r="C72" s="34"/>
      <c r="D72" s="6"/>
      <c r="E72" s="11"/>
      <c r="F72" s="4"/>
      <c r="G72" s="34"/>
      <c r="H72" s="6"/>
    </row>
    <row r="73" spans="2:8" x14ac:dyDescent="0.4">
      <c r="B73" s="4"/>
      <c r="C73" s="34"/>
      <c r="D73" s="6"/>
      <c r="E73" s="11"/>
      <c r="F73" s="4"/>
      <c r="G73" s="34"/>
      <c r="H73" s="6"/>
    </row>
    <row r="74" spans="2:8" x14ac:dyDescent="0.4">
      <c r="B74" s="4"/>
      <c r="C74" s="34"/>
      <c r="D74" s="6"/>
      <c r="E74" s="11"/>
      <c r="F74" s="4"/>
      <c r="G74" s="34"/>
      <c r="H74" s="6"/>
    </row>
    <row r="75" spans="2:8" x14ac:dyDescent="0.4">
      <c r="B75" s="4"/>
      <c r="C75" s="34"/>
      <c r="D75" s="6"/>
      <c r="E75" s="11"/>
      <c r="F75" s="4"/>
      <c r="G75" s="34"/>
      <c r="H75" s="6"/>
    </row>
    <row r="76" spans="2:8" x14ac:dyDescent="0.4">
      <c r="B76" s="4" t="s">
        <v>34</v>
      </c>
      <c r="C76" s="34" t="s">
        <v>34</v>
      </c>
      <c r="D76" s="6" t="s">
        <v>34</v>
      </c>
      <c r="E76" s="11"/>
      <c r="F76" s="4" t="s">
        <v>16</v>
      </c>
      <c r="G76" s="34" t="s">
        <v>16</v>
      </c>
      <c r="H76" s="6" t="s">
        <v>16</v>
      </c>
    </row>
    <row r="77" spans="2:8" x14ac:dyDescent="0.4">
      <c r="B77" s="4"/>
      <c r="C77" s="34"/>
      <c r="D77" s="6"/>
      <c r="E77" s="11"/>
      <c r="F77" s="4"/>
      <c r="G77" s="34"/>
      <c r="H77" s="6"/>
    </row>
    <row r="78" spans="2:8" x14ac:dyDescent="0.4">
      <c r="B78" s="4"/>
      <c r="C78" s="34"/>
      <c r="D78" s="6"/>
      <c r="E78" s="11"/>
      <c r="F78" s="4"/>
      <c r="G78" s="34"/>
      <c r="H78" s="6"/>
    </row>
    <row r="79" spans="2:8" x14ac:dyDescent="0.4">
      <c r="B79" s="4"/>
      <c r="C79" s="34"/>
      <c r="D79" s="6"/>
      <c r="E79" s="11"/>
      <c r="F79" s="4"/>
      <c r="G79" s="34"/>
      <c r="H79" s="6"/>
    </row>
    <row r="80" spans="2:8" x14ac:dyDescent="0.4">
      <c r="B80" s="4"/>
      <c r="C80" s="34"/>
      <c r="D80" s="6"/>
      <c r="E80" s="11"/>
      <c r="F80" s="4"/>
      <c r="G80" s="34"/>
      <c r="H80" s="6"/>
    </row>
    <row r="81" spans="2:8" x14ac:dyDescent="0.4">
      <c r="B81" s="4"/>
      <c r="C81" s="34"/>
      <c r="D81" s="6"/>
      <c r="E81" s="11"/>
      <c r="F81" s="4"/>
      <c r="G81" s="34"/>
      <c r="H81" s="6"/>
    </row>
    <row r="82" spans="2:8" x14ac:dyDescent="0.4">
      <c r="B82" s="4"/>
      <c r="C82" s="34"/>
      <c r="D82" s="6"/>
      <c r="E82" s="11"/>
      <c r="F82" s="4"/>
      <c r="G82" s="34"/>
      <c r="H82" s="6"/>
    </row>
    <row r="83" spans="2:8" x14ac:dyDescent="0.4">
      <c r="B83" s="4"/>
      <c r="C83" s="34"/>
      <c r="D83" s="6"/>
      <c r="E83" s="11"/>
      <c r="F83" s="4"/>
      <c r="G83" s="34"/>
      <c r="H83" s="6"/>
    </row>
    <row r="84" spans="2:8" x14ac:dyDescent="0.4">
      <c r="B84" s="4"/>
      <c r="C84" s="34"/>
      <c r="D84" s="6"/>
      <c r="E84" s="11"/>
      <c r="F84" s="4"/>
      <c r="G84" s="34"/>
      <c r="H84" s="6"/>
    </row>
    <row r="85" spans="2:8" x14ac:dyDescent="0.4">
      <c r="B85" s="4"/>
      <c r="C85" s="34"/>
      <c r="D85" s="6"/>
      <c r="E85" s="11"/>
      <c r="F85" s="4"/>
      <c r="G85" s="34"/>
      <c r="H85" s="6"/>
    </row>
    <row r="86" spans="2:8" x14ac:dyDescent="0.4">
      <c r="B86" s="4"/>
      <c r="C86" s="34"/>
      <c r="D86" s="6"/>
      <c r="E86" s="11"/>
      <c r="F86" s="4"/>
      <c r="G86" s="34"/>
      <c r="H86" s="6"/>
    </row>
    <row r="87" spans="2:8" x14ac:dyDescent="0.4">
      <c r="B87" s="4"/>
      <c r="C87" s="34"/>
      <c r="D87" s="6"/>
      <c r="E87" s="11"/>
      <c r="F87" s="4"/>
      <c r="G87" s="34"/>
      <c r="H87" s="6"/>
    </row>
    <row r="88" spans="2:8" x14ac:dyDescent="0.4">
      <c r="B88" s="4"/>
      <c r="C88" s="34"/>
      <c r="D88" s="6"/>
      <c r="E88" s="11"/>
      <c r="F88" s="4"/>
      <c r="G88" s="34"/>
      <c r="H88" s="6"/>
    </row>
    <row r="89" spans="2:8" x14ac:dyDescent="0.4">
      <c r="B89" s="13" t="s">
        <v>2</v>
      </c>
      <c r="C89" s="14" t="s">
        <v>2</v>
      </c>
      <c r="D89" s="15" t="s">
        <v>2</v>
      </c>
      <c r="E89" s="11"/>
      <c r="F89" s="13" t="s">
        <v>2</v>
      </c>
      <c r="G89" s="14" t="s">
        <v>2</v>
      </c>
      <c r="H89" s="15" t="s">
        <v>2</v>
      </c>
    </row>
    <row r="90" spans="2:8" x14ac:dyDescent="0.4">
      <c r="B90" s="32"/>
      <c r="C90" s="32"/>
      <c r="D90" s="32"/>
      <c r="E90" s="11"/>
      <c r="F90" s="32"/>
      <c r="G90" s="32"/>
      <c r="H90" s="32"/>
    </row>
    <row r="91" spans="2:8" x14ac:dyDescent="0.4">
      <c r="B91" s="32"/>
      <c r="C91" s="32"/>
      <c r="D91" s="32"/>
      <c r="E91" s="11"/>
      <c r="F91" s="32"/>
      <c r="G91" s="32"/>
      <c r="H91" s="32"/>
    </row>
    <row r="92" spans="2:8" x14ac:dyDescent="0.4">
      <c r="B92" s="7"/>
      <c r="C92" s="7"/>
      <c r="D92" s="7"/>
      <c r="F92" s="7"/>
      <c r="G92" s="7"/>
      <c r="H92" s="7"/>
    </row>
    <row r="93" spans="2:8" x14ac:dyDescent="0.4">
      <c r="B93" s="7"/>
      <c r="C93" s="7"/>
      <c r="D93" s="7"/>
      <c r="F93" s="7"/>
      <c r="G93" s="7"/>
      <c r="H93" s="7"/>
    </row>
    <row r="94" spans="2:8" x14ac:dyDescent="0.4">
      <c r="B94" s="7"/>
      <c r="C94" s="7"/>
      <c r="D94" s="7"/>
      <c r="F94" s="7"/>
      <c r="G94" s="7"/>
      <c r="H94" s="7"/>
    </row>
    <row r="95" spans="2:8" x14ac:dyDescent="0.4">
      <c r="B95" s="7"/>
      <c r="C95" s="7"/>
      <c r="D95" s="7"/>
      <c r="F95" s="7"/>
      <c r="G95" s="7"/>
      <c r="H95" s="7"/>
    </row>
    <row r="96" spans="2:8" x14ac:dyDescent="0.4">
      <c r="B96" s="7"/>
      <c r="C96" s="7"/>
      <c r="D96" s="7"/>
      <c r="F96" s="7"/>
      <c r="G96" s="7"/>
      <c r="H96" s="7"/>
    </row>
    <row r="97" spans="2:8" x14ac:dyDescent="0.4">
      <c r="B97" s="7"/>
      <c r="C97" s="7"/>
      <c r="D97" s="7"/>
      <c r="F97" s="7"/>
      <c r="G97" s="7"/>
      <c r="H97" s="7"/>
    </row>
    <row r="98" spans="2:8" x14ac:dyDescent="0.4">
      <c r="B98" s="7"/>
      <c r="C98" s="7"/>
      <c r="D98" s="7"/>
      <c r="F98" s="7"/>
      <c r="G98" s="7"/>
      <c r="H98" s="7"/>
    </row>
    <row r="99" spans="2:8" x14ac:dyDescent="0.4">
      <c r="B99" s="7"/>
      <c r="C99" s="7"/>
      <c r="D99" s="7"/>
      <c r="F99" s="7"/>
      <c r="G99" s="7"/>
      <c r="H99" s="7"/>
    </row>
    <row r="100" spans="2:8" x14ac:dyDescent="0.4">
      <c r="B100" s="7"/>
      <c r="C100" s="7"/>
      <c r="D100" s="7"/>
      <c r="F100" s="7"/>
      <c r="G100" s="7"/>
      <c r="H100" s="7"/>
    </row>
    <row r="101" spans="2:8" x14ac:dyDescent="0.4">
      <c r="B101" s="7"/>
      <c r="C101" s="7"/>
      <c r="D101" s="7"/>
      <c r="F101" s="7"/>
      <c r="G101" s="7"/>
      <c r="H101" s="7"/>
    </row>
    <row r="102" spans="2:8" x14ac:dyDescent="0.4">
      <c r="B102" s="7"/>
      <c r="C102" s="7"/>
      <c r="D102" s="7"/>
      <c r="F102" s="7"/>
      <c r="G102" s="7"/>
      <c r="H102" s="7"/>
    </row>
    <row r="103" spans="2:8" x14ac:dyDescent="0.4">
      <c r="B103" s="7"/>
      <c r="C103" s="7"/>
      <c r="D103" s="7"/>
      <c r="F103" s="7"/>
      <c r="G103" s="7"/>
      <c r="H103" s="7"/>
    </row>
    <row r="104" spans="2:8" x14ac:dyDescent="0.4">
      <c r="B104" s="7"/>
      <c r="C104" s="7"/>
      <c r="D104" s="7"/>
      <c r="F104" s="7"/>
      <c r="G104" s="7"/>
      <c r="H104" s="7"/>
    </row>
    <row r="105" spans="2:8" x14ac:dyDescent="0.4">
      <c r="B105" s="7"/>
      <c r="C105" s="7"/>
      <c r="D105" s="7"/>
      <c r="F105" s="7"/>
      <c r="G105" s="7"/>
      <c r="H105" s="7"/>
    </row>
    <row r="106" spans="2:8" x14ac:dyDescent="0.4">
      <c r="B106" s="7"/>
      <c r="C106" s="7"/>
      <c r="D106" s="7"/>
      <c r="F106" s="7"/>
      <c r="G106" s="7"/>
      <c r="H106" s="7"/>
    </row>
    <row r="107" spans="2:8" x14ac:dyDescent="0.4">
      <c r="B107" s="7"/>
      <c r="C107" s="7"/>
      <c r="D107" s="7"/>
      <c r="F107" s="7"/>
      <c r="G107" s="7"/>
      <c r="H107" s="7"/>
    </row>
    <row r="108" spans="2:8" x14ac:dyDescent="0.4">
      <c r="B108" s="7"/>
      <c r="C108" s="7"/>
      <c r="D108" s="7"/>
      <c r="F108" s="7"/>
      <c r="G108" s="7"/>
      <c r="H108" s="7"/>
    </row>
    <row r="109" spans="2:8" x14ac:dyDescent="0.4">
      <c r="B109" s="7"/>
      <c r="C109" s="7"/>
      <c r="D109" s="7"/>
      <c r="F109" s="7"/>
      <c r="G109" s="7"/>
      <c r="H109" s="7"/>
    </row>
    <row r="110" spans="2:8" x14ac:dyDescent="0.4">
      <c r="B110" s="7"/>
      <c r="C110" s="7"/>
      <c r="D110" s="7"/>
      <c r="F110" s="7"/>
      <c r="G110" s="7"/>
      <c r="H110" s="7"/>
    </row>
    <row r="111" spans="2:8" x14ac:dyDescent="0.4">
      <c r="B111" s="7"/>
      <c r="C111" s="7"/>
      <c r="D111" s="7"/>
      <c r="F111" s="7"/>
      <c r="G111" s="7"/>
      <c r="H111" s="7"/>
    </row>
    <row r="112" spans="2:8" x14ac:dyDescent="0.4">
      <c r="B112" s="7"/>
      <c r="C112" s="7"/>
      <c r="D112" s="7"/>
      <c r="F112" s="7"/>
      <c r="G112" s="7"/>
      <c r="H112" s="7"/>
    </row>
    <row r="113" spans="2:8" x14ac:dyDescent="0.4">
      <c r="B113" s="7"/>
      <c r="C113" s="7"/>
      <c r="D113" s="7"/>
      <c r="F113" s="7"/>
      <c r="G113" s="7"/>
      <c r="H113" s="7"/>
    </row>
    <row r="114" spans="2:8" x14ac:dyDescent="0.4">
      <c r="B114" s="7"/>
      <c r="C114" s="7"/>
      <c r="D114" s="7"/>
      <c r="F114" s="7"/>
      <c r="G114" s="7"/>
      <c r="H114" s="7"/>
    </row>
    <row r="115" spans="2:8" x14ac:dyDescent="0.4">
      <c r="B115" s="7"/>
      <c r="C115" s="7"/>
      <c r="D115" s="7"/>
      <c r="F115" s="7"/>
      <c r="G115" s="7"/>
      <c r="H115" s="7"/>
    </row>
    <row r="116" spans="2:8" x14ac:dyDescent="0.4">
      <c r="B116" s="7"/>
      <c r="C116" s="7"/>
      <c r="D116" s="7"/>
      <c r="F116" s="7"/>
      <c r="G116" s="7"/>
      <c r="H116" s="7"/>
    </row>
    <row r="117" spans="2:8" x14ac:dyDescent="0.4">
      <c r="B117" s="7"/>
      <c r="C117" s="7"/>
      <c r="D117" s="7"/>
      <c r="F117" s="7"/>
      <c r="G117" s="7"/>
      <c r="H117" s="7"/>
    </row>
    <row r="118" spans="2:8" x14ac:dyDescent="0.4">
      <c r="B118" s="7"/>
      <c r="C118" s="7"/>
      <c r="D118" s="7"/>
      <c r="F118" s="7"/>
      <c r="G118" s="7"/>
      <c r="H118" s="7"/>
    </row>
    <row r="119" spans="2:8" x14ac:dyDescent="0.4">
      <c r="B119" s="7"/>
      <c r="C119" s="7"/>
      <c r="D119" s="7"/>
      <c r="F119" s="7"/>
      <c r="G119" s="7"/>
      <c r="H119" s="7"/>
    </row>
    <row r="120" spans="2:8" x14ac:dyDescent="0.4">
      <c r="B120" s="7"/>
      <c r="C120" s="7"/>
      <c r="D120" s="7"/>
      <c r="F120" s="7"/>
      <c r="G120" s="7"/>
      <c r="H120" s="7"/>
    </row>
    <row r="121" spans="2:8" x14ac:dyDescent="0.4">
      <c r="B121" s="7"/>
      <c r="C121" s="7"/>
      <c r="D121" s="7"/>
      <c r="F121" s="7"/>
      <c r="G121" s="7"/>
      <c r="H121" s="7"/>
    </row>
    <row r="122" spans="2:8" x14ac:dyDescent="0.4">
      <c r="B122" s="7"/>
      <c r="C122" s="7"/>
      <c r="D122" s="7"/>
      <c r="F122" s="7"/>
      <c r="G122" s="7"/>
      <c r="H122" s="7"/>
    </row>
    <row r="123" spans="2:8" x14ac:dyDescent="0.4">
      <c r="B123" s="7"/>
      <c r="C123" s="7"/>
      <c r="D123" s="7"/>
      <c r="F123" s="7"/>
      <c r="G123" s="7"/>
      <c r="H123" s="7"/>
    </row>
    <row r="124" spans="2:8" x14ac:dyDescent="0.4">
      <c r="B124" s="7"/>
      <c r="C124" s="7"/>
      <c r="D124" s="7"/>
      <c r="F124" s="7"/>
      <c r="G124" s="7"/>
      <c r="H124" s="7"/>
    </row>
    <row r="125" spans="2:8" x14ac:dyDescent="0.4">
      <c r="B125" s="7"/>
      <c r="C125" s="7"/>
      <c r="D125" s="7"/>
      <c r="F125" s="7"/>
      <c r="G125" s="7"/>
      <c r="H125" s="7"/>
    </row>
    <row r="126" spans="2:8" x14ac:dyDescent="0.4">
      <c r="B126" s="7"/>
      <c r="C126" s="7"/>
      <c r="D126" s="7"/>
      <c r="F126" s="7"/>
      <c r="G126" s="7"/>
      <c r="H126" s="7"/>
    </row>
    <row r="127" spans="2:8" x14ac:dyDescent="0.4">
      <c r="B127" s="7"/>
      <c r="C127" s="7"/>
      <c r="D127" s="7"/>
      <c r="F127" s="7"/>
      <c r="G127" s="7"/>
      <c r="H127" s="7"/>
    </row>
    <row r="128" spans="2:8" x14ac:dyDescent="0.4">
      <c r="B128" s="7"/>
      <c r="C128" s="7"/>
      <c r="D128" s="7"/>
      <c r="F128" s="7"/>
      <c r="G128" s="7"/>
      <c r="H128" s="7"/>
    </row>
    <row r="129" spans="2:8" x14ac:dyDescent="0.4">
      <c r="B129" s="7"/>
      <c r="C129" s="7"/>
      <c r="D129" s="7"/>
      <c r="F129" s="7"/>
      <c r="G129" s="7"/>
      <c r="H129" s="7"/>
    </row>
    <row r="130" spans="2:8" x14ac:dyDescent="0.4">
      <c r="B130" s="7"/>
      <c r="C130" s="7"/>
      <c r="D130" s="7"/>
      <c r="F130" s="7"/>
      <c r="G130" s="7"/>
      <c r="H130" s="7"/>
    </row>
    <row r="131" spans="2:8" x14ac:dyDescent="0.4">
      <c r="B131" s="7"/>
      <c r="C131" s="7"/>
      <c r="D131" s="7"/>
      <c r="F131" s="7"/>
      <c r="G131" s="7"/>
      <c r="H131" s="7"/>
    </row>
    <row r="132" spans="2:8" x14ac:dyDescent="0.4">
      <c r="B132" s="7"/>
      <c r="C132" s="7"/>
      <c r="D132" s="7"/>
      <c r="F132" s="7"/>
      <c r="G132" s="7"/>
      <c r="H132" s="7"/>
    </row>
    <row r="133" spans="2:8" x14ac:dyDescent="0.4">
      <c r="B133" s="7"/>
      <c r="C133" s="7"/>
      <c r="D133" s="7"/>
      <c r="F133" s="7"/>
      <c r="G133" s="7"/>
      <c r="H133" s="7"/>
    </row>
    <row r="134" spans="2:8" x14ac:dyDescent="0.4">
      <c r="B134" s="7"/>
      <c r="C134" s="7"/>
      <c r="D134" s="7"/>
      <c r="F134" s="7"/>
      <c r="G134" s="7"/>
      <c r="H134" s="7"/>
    </row>
    <row r="135" spans="2:8" x14ac:dyDescent="0.4">
      <c r="B135" s="7"/>
      <c r="C135" s="7"/>
      <c r="D135" s="7"/>
      <c r="F135" s="7"/>
      <c r="G135" s="7"/>
      <c r="H135" s="7"/>
    </row>
    <row r="136" spans="2:8" x14ac:dyDescent="0.4">
      <c r="B136" s="7"/>
      <c r="C136" s="7"/>
      <c r="D136" s="7"/>
      <c r="F136" s="7"/>
      <c r="G136" s="7"/>
      <c r="H136" s="7"/>
    </row>
    <row r="137" spans="2:8" x14ac:dyDescent="0.4">
      <c r="B137" s="7"/>
      <c r="C137" s="7"/>
      <c r="D137" s="7"/>
      <c r="F137" s="7"/>
      <c r="G137" s="7"/>
      <c r="H137" s="7"/>
    </row>
    <row r="138" spans="2:8" x14ac:dyDescent="0.4">
      <c r="B138" s="7"/>
      <c r="C138" s="7"/>
      <c r="D138" s="7"/>
      <c r="F138" s="7"/>
      <c r="G138" s="7"/>
      <c r="H138" s="7"/>
    </row>
    <row r="139" spans="2:8" x14ac:dyDescent="0.4">
      <c r="B139" s="7"/>
      <c r="C139" s="7"/>
      <c r="D139" s="7"/>
      <c r="F139" s="7"/>
      <c r="G139" s="7"/>
      <c r="H139" s="7"/>
    </row>
    <row r="140" spans="2:8" x14ac:dyDescent="0.4">
      <c r="B140" s="7"/>
      <c r="C140" s="7"/>
      <c r="D140" s="7"/>
      <c r="F140" s="7"/>
      <c r="G140" s="7"/>
      <c r="H140" s="7"/>
    </row>
    <row r="141" spans="2:8" x14ac:dyDescent="0.4">
      <c r="B141" s="7"/>
      <c r="C141" s="7"/>
      <c r="D141" s="7"/>
      <c r="F141" s="7"/>
      <c r="G141" s="7"/>
      <c r="H141" s="7"/>
    </row>
    <row r="142" spans="2:8" x14ac:dyDescent="0.4">
      <c r="B142" s="7"/>
      <c r="C142" s="7"/>
      <c r="D142" s="7"/>
      <c r="F142" s="7"/>
      <c r="G142" s="7"/>
      <c r="H142" s="7"/>
    </row>
    <row r="143" spans="2:8" x14ac:dyDescent="0.4">
      <c r="B143" s="7"/>
      <c r="C143" s="7"/>
      <c r="D143" s="7"/>
      <c r="F143" s="7"/>
      <c r="G143" s="7"/>
      <c r="H143" s="7"/>
    </row>
    <row r="144" spans="2:8" x14ac:dyDescent="0.4">
      <c r="B144" s="7"/>
      <c r="C144" s="7"/>
      <c r="D144" s="7"/>
      <c r="F144" s="7"/>
      <c r="G144" s="7"/>
      <c r="H144" s="7"/>
    </row>
    <row r="145" spans="2:8" x14ac:dyDescent="0.4">
      <c r="B145" s="7"/>
      <c r="C145" s="7"/>
      <c r="D145" s="7"/>
      <c r="F145" s="7"/>
      <c r="G145" s="7"/>
      <c r="H145" s="7"/>
    </row>
    <row r="146" spans="2:8" x14ac:dyDescent="0.4">
      <c r="B146" s="7"/>
      <c r="C146" s="7"/>
      <c r="D146" s="7"/>
      <c r="F146" s="7"/>
      <c r="G146" s="7"/>
      <c r="H146" s="7"/>
    </row>
    <row r="147" spans="2:8" x14ac:dyDescent="0.4">
      <c r="B147" s="7"/>
      <c r="C147" s="7"/>
      <c r="D147" s="7"/>
      <c r="F147" s="7"/>
      <c r="G147" s="7"/>
      <c r="H147" s="7"/>
    </row>
    <row r="148" spans="2:8" x14ac:dyDescent="0.4">
      <c r="B148" s="7"/>
      <c r="C148" s="7"/>
      <c r="D148" s="7"/>
      <c r="F148" s="7"/>
      <c r="G148" s="7"/>
      <c r="H148" s="7"/>
    </row>
    <row r="149" spans="2:8" x14ac:dyDescent="0.4">
      <c r="B149" s="7"/>
      <c r="C149" s="7"/>
      <c r="D149" s="7"/>
      <c r="F149" s="7"/>
      <c r="G149" s="7"/>
      <c r="H149" s="7"/>
    </row>
    <row r="150" spans="2:8" x14ac:dyDescent="0.4">
      <c r="B150" s="7"/>
      <c r="C150" s="7"/>
      <c r="D150" s="7"/>
      <c r="F150" s="7"/>
      <c r="G150" s="7"/>
      <c r="H150" s="7"/>
    </row>
    <row r="151" spans="2:8" x14ac:dyDescent="0.4">
      <c r="B151" s="7"/>
      <c r="C151" s="7"/>
      <c r="D151" s="7"/>
      <c r="F151" s="7"/>
      <c r="G151" s="7"/>
      <c r="H151" s="7"/>
    </row>
    <row r="152" spans="2:8" x14ac:dyDescent="0.4">
      <c r="B152" s="7"/>
      <c r="C152" s="7"/>
      <c r="D152" s="7"/>
      <c r="F152" s="7"/>
      <c r="G152" s="7"/>
      <c r="H152" s="7"/>
    </row>
    <row r="153" spans="2:8" x14ac:dyDescent="0.4">
      <c r="B153" s="7"/>
      <c r="C153" s="7"/>
      <c r="D153" s="7"/>
      <c r="F153" s="7"/>
      <c r="G153" s="7"/>
      <c r="H153" s="7"/>
    </row>
    <row r="154" spans="2:8" x14ac:dyDescent="0.4">
      <c r="B154" s="7"/>
      <c r="C154" s="7"/>
      <c r="D154" s="7"/>
      <c r="F154" s="7"/>
      <c r="G154" s="7"/>
      <c r="H154" s="7"/>
    </row>
    <row r="155" spans="2:8" x14ac:dyDescent="0.4">
      <c r="B155" s="7"/>
      <c r="C155" s="7"/>
      <c r="D155" s="7"/>
      <c r="F155" s="7"/>
      <c r="G155" s="7"/>
      <c r="H155" s="7"/>
    </row>
    <row r="156" spans="2:8" x14ac:dyDescent="0.4">
      <c r="B156" s="7"/>
      <c r="C156" s="7"/>
      <c r="D156" s="7"/>
      <c r="F156" s="7"/>
      <c r="G156" s="7"/>
      <c r="H156" s="7"/>
    </row>
    <row r="157" spans="2:8" x14ac:dyDescent="0.4">
      <c r="B157" s="7"/>
      <c r="C157" s="7"/>
      <c r="D157" s="7"/>
      <c r="F157" s="7"/>
      <c r="G157" s="7"/>
      <c r="H157" s="7"/>
    </row>
    <row r="158" spans="2:8" x14ac:dyDescent="0.4">
      <c r="B158" s="7"/>
      <c r="C158" s="7"/>
      <c r="D158" s="7"/>
      <c r="F158" s="7"/>
      <c r="G158" s="7"/>
      <c r="H158" s="7"/>
    </row>
    <row r="159" spans="2:8" x14ac:dyDescent="0.4">
      <c r="B159" s="7"/>
      <c r="C159" s="7"/>
      <c r="D159" s="7"/>
      <c r="F159" s="7"/>
      <c r="G159" s="7"/>
      <c r="H159" s="7"/>
    </row>
    <row r="160" spans="2:8" x14ac:dyDescent="0.4">
      <c r="B160" s="7"/>
      <c r="C160" s="7"/>
      <c r="D160" s="7"/>
      <c r="F160" s="7"/>
      <c r="G160" s="7"/>
      <c r="H160" s="7"/>
    </row>
    <row r="161" spans="2:8" x14ac:dyDescent="0.4">
      <c r="B161" s="7"/>
      <c r="C161" s="7"/>
      <c r="D161" s="7"/>
      <c r="F161" s="7"/>
      <c r="G161" s="7"/>
      <c r="H161" s="7"/>
    </row>
    <row r="162" spans="2:8" x14ac:dyDescent="0.4">
      <c r="B162" s="7"/>
      <c r="C162" s="7"/>
      <c r="D162" s="7"/>
      <c r="F162" s="7"/>
      <c r="G162" s="7"/>
      <c r="H162" s="7"/>
    </row>
    <row r="163" spans="2:8" x14ac:dyDescent="0.4">
      <c r="B163" s="7"/>
      <c r="C163" s="7"/>
      <c r="D163" s="7"/>
      <c r="F163" s="7"/>
      <c r="G163" s="7"/>
      <c r="H163" s="7"/>
    </row>
    <row r="164" spans="2:8" x14ac:dyDescent="0.4">
      <c r="B164" s="7"/>
      <c r="C164" s="7"/>
      <c r="D164" s="7"/>
      <c r="F164" s="7"/>
      <c r="G164" s="7"/>
      <c r="H164" s="7"/>
    </row>
    <row r="165" spans="2:8" x14ac:dyDescent="0.4">
      <c r="B165" s="7"/>
      <c r="C165" s="7"/>
      <c r="D165" s="7"/>
      <c r="F165" s="7"/>
      <c r="G165" s="7"/>
      <c r="H165" s="7"/>
    </row>
    <row r="166" spans="2:8" x14ac:dyDescent="0.4">
      <c r="B166" s="7"/>
      <c r="C166" s="7"/>
      <c r="D166" s="7"/>
      <c r="F166" s="7"/>
      <c r="G166" s="7"/>
      <c r="H166" s="7"/>
    </row>
    <row r="167" spans="2:8" x14ac:dyDescent="0.4">
      <c r="B167" s="7"/>
      <c r="C167" s="7"/>
      <c r="D167" s="7"/>
      <c r="F167" s="7"/>
      <c r="G167" s="7"/>
      <c r="H167" s="7"/>
    </row>
    <row r="168" spans="2:8" x14ac:dyDescent="0.4">
      <c r="B168" s="7"/>
      <c r="C168" s="7"/>
      <c r="D168" s="7"/>
      <c r="F168" s="7"/>
      <c r="G168" s="7"/>
      <c r="H168" s="7"/>
    </row>
    <row r="169" spans="2:8" x14ac:dyDescent="0.4">
      <c r="B169" s="7"/>
      <c r="C169" s="7"/>
      <c r="D169" s="7"/>
      <c r="F169" s="7"/>
      <c r="G169" s="7"/>
      <c r="H169" s="7"/>
    </row>
    <row r="170" spans="2:8" x14ac:dyDescent="0.4">
      <c r="B170" s="7"/>
      <c r="C170" s="7"/>
      <c r="D170" s="7"/>
      <c r="F170" s="7"/>
      <c r="G170" s="7"/>
      <c r="H170" s="7"/>
    </row>
    <row r="171" spans="2:8" x14ac:dyDescent="0.4">
      <c r="B171" s="7"/>
      <c r="C171" s="7"/>
      <c r="D171" s="7"/>
      <c r="F171" s="7"/>
      <c r="G171" s="7"/>
      <c r="H171" s="7"/>
    </row>
    <row r="172" spans="2:8" x14ac:dyDescent="0.4">
      <c r="B172" s="7"/>
      <c r="C172" s="7"/>
      <c r="D172" s="7"/>
      <c r="F172" s="7"/>
      <c r="G172" s="7"/>
      <c r="H172" s="7"/>
    </row>
    <row r="173" spans="2:8" x14ac:dyDescent="0.4">
      <c r="B173" s="7"/>
      <c r="C173" s="7"/>
      <c r="D173" s="7"/>
      <c r="F173" s="7"/>
      <c r="G173" s="7"/>
      <c r="H173" s="7"/>
    </row>
    <row r="174" spans="2:8" x14ac:dyDescent="0.4">
      <c r="B174" s="7"/>
      <c r="C174" s="7"/>
      <c r="D174" s="7"/>
      <c r="F174" s="7"/>
      <c r="G174" s="7"/>
      <c r="H174" s="7"/>
    </row>
    <row r="175" spans="2:8" x14ac:dyDescent="0.4">
      <c r="B175" s="7"/>
      <c r="C175" s="7"/>
      <c r="D175" s="7"/>
      <c r="F175" s="7"/>
      <c r="G175" s="7"/>
      <c r="H175" s="7"/>
    </row>
    <row r="176" spans="2:8" x14ac:dyDescent="0.4">
      <c r="B176" s="7"/>
      <c r="C176" s="7"/>
      <c r="D176" s="7"/>
      <c r="F176" s="7"/>
      <c r="G176" s="7"/>
      <c r="H176" s="7"/>
    </row>
    <row r="177" spans="2:8" x14ac:dyDescent="0.4">
      <c r="B177" s="7"/>
      <c r="C177" s="7"/>
      <c r="D177" s="7"/>
      <c r="F177" s="7"/>
      <c r="G177" s="7"/>
      <c r="H177" s="7"/>
    </row>
    <row r="178" spans="2:8" x14ac:dyDescent="0.4">
      <c r="B178" s="7"/>
      <c r="C178" s="7"/>
      <c r="D178" s="7"/>
      <c r="F178" s="7"/>
      <c r="G178" s="7"/>
      <c r="H178" s="7"/>
    </row>
    <row r="179" spans="2:8" x14ac:dyDescent="0.4">
      <c r="B179" s="7"/>
      <c r="C179" s="7"/>
      <c r="D179" s="7"/>
      <c r="F179" s="7"/>
      <c r="G179" s="7"/>
      <c r="H179" s="7"/>
    </row>
    <row r="180" spans="2:8" x14ac:dyDescent="0.4">
      <c r="B180" s="7"/>
      <c r="C180" s="7"/>
      <c r="D180" s="7"/>
      <c r="F180" s="7"/>
      <c r="G180" s="7"/>
      <c r="H180" s="7"/>
    </row>
    <row r="181" spans="2:8" x14ac:dyDescent="0.4">
      <c r="B181" s="7"/>
      <c r="C181" s="7"/>
      <c r="D181" s="7"/>
      <c r="F181" s="7"/>
      <c r="G181" s="7"/>
      <c r="H181" s="7"/>
    </row>
    <row r="182" spans="2:8" x14ac:dyDescent="0.4">
      <c r="B182" s="7"/>
      <c r="C182" s="7"/>
      <c r="D182" s="7"/>
      <c r="F182" s="7"/>
      <c r="G182" s="7"/>
      <c r="H182" s="7"/>
    </row>
    <row r="183" spans="2:8" x14ac:dyDescent="0.4">
      <c r="B183" s="7"/>
      <c r="C183" s="7"/>
      <c r="D183" s="7"/>
      <c r="F183" s="7"/>
      <c r="G183" s="7"/>
      <c r="H183" s="7"/>
    </row>
    <row r="184" spans="2:8" x14ac:dyDescent="0.4">
      <c r="B184" s="7"/>
      <c r="C184" s="7"/>
      <c r="D184" s="7"/>
      <c r="F184" s="7"/>
      <c r="G184" s="7"/>
      <c r="H184" s="7"/>
    </row>
    <row r="185" spans="2:8" x14ac:dyDescent="0.4">
      <c r="B185" s="7"/>
      <c r="C185" s="7"/>
      <c r="D185" s="7"/>
      <c r="F185" s="7"/>
      <c r="G185" s="7"/>
      <c r="H185" s="7"/>
    </row>
    <row r="186" spans="2:8" x14ac:dyDescent="0.4">
      <c r="B186" s="7"/>
      <c r="C186" s="7"/>
      <c r="D186" s="7"/>
      <c r="F186" s="7"/>
      <c r="G186" s="7"/>
      <c r="H186" s="7"/>
    </row>
    <row r="187" spans="2:8" x14ac:dyDescent="0.4">
      <c r="B187" s="7"/>
      <c r="C187" s="7"/>
      <c r="D187" s="7"/>
      <c r="F187" s="7"/>
      <c r="G187" s="7"/>
      <c r="H187" s="7"/>
    </row>
    <row r="188" spans="2:8" x14ac:dyDescent="0.4">
      <c r="B188" s="7"/>
      <c r="C188" s="7"/>
      <c r="D188" s="7"/>
      <c r="F188" s="7"/>
      <c r="G188" s="7"/>
      <c r="H188" s="7"/>
    </row>
    <row r="189" spans="2:8" x14ac:dyDescent="0.4">
      <c r="B189" s="7"/>
      <c r="C189" s="7"/>
      <c r="D189" s="7"/>
      <c r="F189" s="7"/>
      <c r="G189" s="7"/>
      <c r="H189" s="7"/>
    </row>
    <row r="190" spans="2:8" x14ac:dyDescent="0.4">
      <c r="B190" s="7"/>
      <c r="C190" s="7"/>
      <c r="D190" s="7"/>
      <c r="F190" s="7"/>
      <c r="G190" s="7"/>
      <c r="H190" s="7"/>
    </row>
    <row r="191" spans="2:8" x14ac:dyDescent="0.4">
      <c r="B191" s="7"/>
      <c r="C191" s="7"/>
      <c r="D191" s="7"/>
      <c r="F191" s="7"/>
      <c r="G191" s="7"/>
      <c r="H191" s="7"/>
    </row>
    <row r="192" spans="2:8" x14ac:dyDescent="0.4">
      <c r="B192" s="7"/>
      <c r="C192" s="7"/>
      <c r="D192" s="7"/>
      <c r="F192" s="7"/>
      <c r="G192" s="7"/>
      <c r="H192" s="7"/>
    </row>
    <row r="193" spans="2:8" x14ac:dyDescent="0.4">
      <c r="B193" s="7"/>
      <c r="C193" s="7"/>
      <c r="D193" s="7"/>
      <c r="F193" s="7"/>
      <c r="G193" s="7"/>
      <c r="H193" s="7"/>
    </row>
    <row r="194" spans="2:8" x14ac:dyDescent="0.4">
      <c r="B194" s="7"/>
      <c r="C194" s="7"/>
      <c r="D194" s="7"/>
      <c r="F194" s="7"/>
      <c r="G194" s="7"/>
      <c r="H194" s="7"/>
    </row>
    <row r="195" spans="2:8" x14ac:dyDescent="0.4">
      <c r="B195" s="7"/>
      <c r="C195" s="7"/>
      <c r="D195" s="7"/>
      <c r="F195" s="7"/>
      <c r="G195" s="7"/>
      <c r="H195" s="7"/>
    </row>
    <row r="196" spans="2:8" x14ac:dyDescent="0.4">
      <c r="B196" s="7"/>
      <c r="C196" s="7"/>
      <c r="D196" s="7"/>
      <c r="F196" s="7"/>
      <c r="G196" s="7"/>
      <c r="H196" s="7"/>
    </row>
    <row r="197" spans="2:8" x14ac:dyDescent="0.4">
      <c r="B197" s="7"/>
      <c r="C197" s="7"/>
      <c r="D197" s="7"/>
      <c r="F197" s="7"/>
      <c r="G197" s="7"/>
      <c r="H197" s="7"/>
    </row>
    <row r="198" spans="2:8" x14ac:dyDescent="0.4">
      <c r="B198" s="7"/>
      <c r="C198" s="7"/>
      <c r="D198" s="7"/>
      <c r="F198" s="7"/>
      <c r="G198" s="7"/>
      <c r="H198" s="7"/>
    </row>
    <row r="199" spans="2:8" x14ac:dyDescent="0.4">
      <c r="B199" s="7"/>
      <c r="C199" s="7"/>
      <c r="D199" s="7"/>
      <c r="F199" s="7"/>
      <c r="G199" s="7"/>
      <c r="H199" s="7"/>
    </row>
    <row r="200" spans="2:8" x14ac:dyDescent="0.4">
      <c r="B200" s="7"/>
      <c r="C200" s="7"/>
      <c r="D200" s="7"/>
      <c r="F200" s="7"/>
      <c r="G200" s="7"/>
      <c r="H200" s="7"/>
    </row>
    <row r="201" spans="2:8" x14ac:dyDescent="0.4">
      <c r="B201" s="7"/>
      <c r="C201" s="7"/>
      <c r="D201" s="7"/>
      <c r="F201" s="7"/>
      <c r="G201" s="7"/>
      <c r="H201" s="7"/>
    </row>
    <row r="202" spans="2:8" x14ac:dyDescent="0.4">
      <c r="B202" s="7"/>
      <c r="C202" s="7"/>
      <c r="D202" s="7"/>
      <c r="F202" s="7"/>
      <c r="G202" s="7"/>
      <c r="H202" s="7"/>
    </row>
    <row r="203" spans="2:8" x14ac:dyDescent="0.4">
      <c r="B203" s="7"/>
      <c r="C203" s="7"/>
      <c r="D203" s="7"/>
      <c r="F203" s="7"/>
      <c r="G203" s="7"/>
      <c r="H203" s="7"/>
    </row>
    <row r="204" spans="2:8" x14ac:dyDescent="0.4">
      <c r="B204" s="7"/>
      <c r="C204" s="7"/>
      <c r="D204" s="7"/>
      <c r="F204" s="7"/>
      <c r="G204" s="7"/>
      <c r="H204" s="7"/>
    </row>
    <row r="205" spans="2:8" x14ac:dyDescent="0.4">
      <c r="B205" s="7"/>
      <c r="C205" s="7"/>
      <c r="D205" s="7"/>
      <c r="F205" s="7"/>
      <c r="G205" s="7"/>
      <c r="H205" s="7"/>
    </row>
    <row r="206" spans="2:8" x14ac:dyDescent="0.4">
      <c r="B206" s="7"/>
      <c r="C206" s="7"/>
      <c r="D206" s="7"/>
      <c r="F206" s="7"/>
      <c r="G206" s="7"/>
      <c r="H206" s="7"/>
    </row>
    <row r="207" spans="2:8" x14ac:dyDescent="0.4">
      <c r="B207" s="7"/>
      <c r="C207" s="7"/>
      <c r="D207" s="7"/>
      <c r="F207" s="7"/>
      <c r="G207" s="7"/>
      <c r="H207" s="7"/>
    </row>
    <row r="208" spans="2:8" x14ac:dyDescent="0.4">
      <c r="B208" s="7"/>
      <c r="C208" s="7"/>
      <c r="D208" s="7"/>
      <c r="F208" s="7"/>
      <c r="G208" s="7"/>
      <c r="H208" s="7"/>
    </row>
    <row r="209" spans="2:8" x14ac:dyDescent="0.4">
      <c r="B209" s="7"/>
      <c r="C209" s="7"/>
      <c r="D209" s="7"/>
      <c r="F209" s="7"/>
      <c r="G209" s="7"/>
      <c r="H209" s="7"/>
    </row>
    <row r="210" spans="2:8" x14ac:dyDescent="0.4">
      <c r="B210" s="7"/>
      <c r="C210" s="7"/>
      <c r="D210" s="7"/>
      <c r="F210" s="7"/>
      <c r="G210" s="7"/>
      <c r="H210" s="7"/>
    </row>
    <row r="211" spans="2:8" x14ac:dyDescent="0.4">
      <c r="B211" s="7"/>
      <c r="C211" s="7"/>
      <c r="D211" s="7"/>
      <c r="F211" s="7"/>
      <c r="G211" s="7"/>
      <c r="H211" s="7"/>
    </row>
    <row r="212" spans="2:8" x14ac:dyDescent="0.4">
      <c r="B212" s="7"/>
      <c r="C212" s="7"/>
      <c r="D212" s="7"/>
      <c r="F212" s="7"/>
      <c r="G212" s="7"/>
      <c r="H212" s="7"/>
    </row>
    <row r="213" spans="2:8" x14ac:dyDescent="0.4">
      <c r="B213" s="7"/>
      <c r="C213" s="7"/>
      <c r="D213" s="7"/>
      <c r="F213" s="7"/>
      <c r="G213" s="7"/>
      <c r="H213" s="7"/>
    </row>
    <row r="214" spans="2:8" x14ac:dyDescent="0.4">
      <c r="B214" s="7"/>
      <c r="C214" s="7"/>
      <c r="D214" s="7"/>
      <c r="F214" s="7"/>
      <c r="G214" s="7"/>
      <c r="H214" s="7"/>
    </row>
    <row r="215" spans="2:8" x14ac:dyDescent="0.4">
      <c r="B215" s="7"/>
      <c r="C215" s="7"/>
      <c r="D215" s="7"/>
      <c r="F215" s="7"/>
      <c r="G215" s="7"/>
      <c r="H215" s="7"/>
    </row>
    <row r="216" spans="2:8" x14ac:dyDescent="0.4">
      <c r="B216" s="7"/>
      <c r="C216" s="7"/>
      <c r="D216" s="7"/>
      <c r="F216" s="7"/>
      <c r="G216" s="7"/>
      <c r="H216" s="7"/>
    </row>
    <row r="217" spans="2:8" x14ac:dyDescent="0.4">
      <c r="B217" s="7"/>
      <c r="C217" s="7"/>
      <c r="D217" s="7"/>
      <c r="F217" s="7"/>
      <c r="G217" s="7"/>
      <c r="H217" s="7"/>
    </row>
    <row r="218" spans="2:8" x14ac:dyDescent="0.4">
      <c r="B218" s="7"/>
      <c r="C218" s="7"/>
      <c r="D218" s="7"/>
      <c r="F218" s="7"/>
      <c r="G218" s="7"/>
      <c r="H218" s="7"/>
    </row>
    <row r="219" spans="2:8" x14ac:dyDescent="0.4">
      <c r="B219" s="7"/>
      <c r="C219" s="7"/>
      <c r="D219" s="7"/>
      <c r="F219" s="7"/>
      <c r="G219" s="7"/>
      <c r="H219" s="7"/>
    </row>
    <row r="220" spans="2:8" x14ac:dyDescent="0.4">
      <c r="B220" s="7"/>
      <c r="C220" s="7"/>
      <c r="D220" s="7"/>
      <c r="F220" s="7"/>
      <c r="G220" s="7"/>
      <c r="H220" s="7"/>
    </row>
    <row r="221" spans="2:8" x14ac:dyDescent="0.4">
      <c r="B221" s="7"/>
      <c r="C221" s="7"/>
      <c r="D221" s="7"/>
      <c r="F221" s="7"/>
      <c r="G221" s="7"/>
      <c r="H221" s="7"/>
    </row>
    <row r="222" spans="2:8" x14ac:dyDescent="0.4">
      <c r="B222" s="7"/>
      <c r="C222" s="7"/>
      <c r="D222" s="7"/>
      <c r="F222" s="7"/>
      <c r="G222" s="7"/>
      <c r="H222" s="7"/>
    </row>
    <row r="223" spans="2:8" x14ac:dyDescent="0.4">
      <c r="B223" s="7"/>
      <c r="C223" s="7"/>
      <c r="D223" s="7"/>
      <c r="F223" s="7"/>
      <c r="G223" s="7"/>
      <c r="H223" s="7"/>
    </row>
    <row r="224" spans="2:8" x14ac:dyDescent="0.4">
      <c r="B224" s="7"/>
      <c r="C224" s="7"/>
      <c r="D224" s="7"/>
      <c r="F224" s="7"/>
      <c r="G224" s="7"/>
      <c r="H224" s="7"/>
    </row>
    <row r="225" spans="2:8" x14ac:dyDescent="0.4">
      <c r="B225" s="7"/>
      <c r="C225" s="7"/>
      <c r="D225" s="7"/>
      <c r="F225" s="7"/>
      <c r="G225" s="7"/>
      <c r="H225" s="7"/>
    </row>
    <row r="226" spans="2:8" x14ac:dyDescent="0.4">
      <c r="B226" s="7"/>
      <c r="C226" s="7"/>
      <c r="D226" s="7"/>
      <c r="F226" s="7"/>
      <c r="G226" s="7"/>
      <c r="H226" s="7"/>
    </row>
    <row r="227" spans="2:8" x14ac:dyDescent="0.4">
      <c r="B227" s="7"/>
      <c r="C227" s="7"/>
      <c r="D227" s="7"/>
      <c r="F227" s="7"/>
      <c r="G227" s="7"/>
      <c r="H227" s="7"/>
    </row>
    <row r="228" spans="2:8" x14ac:dyDescent="0.4">
      <c r="B228" s="7"/>
      <c r="C228" s="7"/>
      <c r="D228" s="7"/>
      <c r="F228" s="7"/>
      <c r="G228" s="7"/>
      <c r="H228" s="7"/>
    </row>
    <row r="229" spans="2:8" x14ac:dyDescent="0.4">
      <c r="B229" s="7"/>
      <c r="C229" s="7"/>
      <c r="D229" s="7"/>
      <c r="F229" s="7"/>
      <c r="G229" s="7"/>
      <c r="H229" s="7"/>
    </row>
    <row r="230" spans="2:8" x14ac:dyDescent="0.4">
      <c r="B230" s="7"/>
      <c r="C230" s="7"/>
      <c r="D230" s="7"/>
      <c r="F230" s="7"/>
      <c r="G230" s="7"/>
      <c r="H230" s="7"/>
    </row>
    <row r="231" spans="2:8" x14ac:dyDescent="0.4">
      <c r="B231" s="7"/>
      <c r="C231" s="7"/>
      <c r="D231" s="7"/>
      <c r="F231" s="7"/>
      <c r="G231" s="7"/>
      <c r="H231" s="7"/>
    </row>
    <row r="232" spans="2:8" x14ac:dyDescent="0.4">
      <c r="B232" s="7"/>
      <c r="C232" s="7"/>
      <c r="D232" s="7"/>
      <c r="F232" s="7"/>
      <c r="G232" s="7"/>
      <c r="H232" s="7"/>
    </row>
    <row r="233" spans="2:8" x14ac:dyDescent="0.4">
      <c r="B233" s="7"/>
      <c r="C233" s="7"/>
      <c r="D233" s="7"/>
      <c r="F233" s="7"/>
      <c r="G233" s="7"/>
      <c r="H233" s="7"/>
    </row>
    <row r="234" spans="2:8" x14ac:dyDescent="0.4">
      <c r="B234" s="7"/>
      <c r="C234" s="7"/>
      <c r="D234" s="7"/>
      <c r="F234" s="7"/>
      <c r="G234" s="7"/>
      <c r="H234" s="7"/>
    </row>
    <row r="235" spans="2:8" x14ac:dyDescent="0.4">
      <c r="B235" s="7"/>
      <c r="C235" s="7"/>
      <c r="D235" s="7"/>
      <c r="F235" s="7"/>
      <c r="G235" s="7"/>
      <c r="H235" s="7"/>
    </row>
    <row r="236" spans="2:8" x14ac:dyDescent="0.4">
      <c r="B236" s="7"/>
      <c r="C236" s="7"/>
      <c r="D236" s="7"/>
      <c r="F236" s="7"/>
      <c r="G236" s="7"/>
      <c r="H236" s="7"/>
    </row>
    <row r="237" spans="2:8" x14ac:dyDescent="0.4">
      <c r="B237" s="7"/>
      <c r="C237" s="7"/>
      <c r="D237" s="7"/>
      <c r="F237" s="7"/>
      <c r="G237" s="7"/>
      <c r="H237" s="7"/>
    </row>
    <row r="238" spans="2:8" x14ac:dyDescent="0.4">
      <c r="B238" s="7"/>
      <c r="C238" s="7"/>
      <c r="D238" s="7"/>
      <c r="F238" s="7"/>
      <c r="G238" s="7"/>
      <c r="H238" s="7"/>
    </row>
    <row r="239" spans="2:8" x14ac:dyDescent="0.4">
      <c r="B239" s="7"/>
      <c r="C239" s="7"/>
      <c r="D239" s="7"/>
      <c r="F239" s="7"/>
      <c r="G239" s="7"/>
      <c r="H239" s="7"/>
    </row>
    <row r="240" spans="2:8" x14ac:dyDescent="0.4">
      <c r="B240" s="7"/>
      <c r="C240" s="7"/>
      <c r="D240" s="7"/>
      <c r="F240" s="7"/>
      <c r="G240" s="7"/>
      <c r="H240" s="7"/>
    </row>
    <row r="241" spans="2:8" x14ac:dyDescent="0.4">
      <c r="B241" s="7"/>
      <c r="C241" s="7"/>
      <c r="D241" s="7"/>
      <c r="F241" s="7"/>
      <c r="G241" s="7"/>
      <c r="H241" s="7"/>
    </row>
    <row r="242" spans="2:8" x14ac:dyDescent="0.4">
      <c r="B242" s="7"/>
      <c r="C242" s="7"/>
      <c r="D242" s="7"/>
      <c r="F242" s="7"/>
      <c r="G242" s="7"/>
      <c r="H242" s="7"/>
    </row>
    <row r="243" spans="2:8" x14ac:dyDescent="0.4">
      <c r="B243" s="7"/>
      <c r="C243" s="7"/>
      <c r="D243" s="7"/>
      <c r="F243" s="7"/>
      <c r="G243" s="7"/>
      <c r="H243" s="7"/>
    </row>
    <row r="244" spans="2:8" x14ac:dyDescent="0.4">
      <c r="B244" s="7"/>
      <c r="C244" s="7"/>
      <c r="D244" s="7"/>
      <c r="F244" s="7"/>
      <c r="G244" s="7"/>
      <c r="H244" s="7"/>
    </row>
    <row r="245" spans="2:8" x14ac:dyDescent="0.4">
      <c r="B245" s="7"/>
      <c r="C245" s="7"/>
      <c r="D245" s="7"/>
      <c r="F245" s="7"/>
      <c r="G245" s="7"/>
      <c r="H245" s="7"/>
    </row>
    <row r="246" spans="2:8" x14ac:dyDescent="0.4">
      <c r="B246" s="7"/>
      <c r="C246" s="7"/>
      <c r="D246" s="7"/>
      <c r="F246" s="7"/>
      <c r="G246" s="7"/>
      <c r="H246" s="7"/>
    </row>
    <row r="247" spans="2:8" x14ac:dyDescent="0.4">
      <c r="B247" s="7"/>
      <c r="C247" s="7"/>
      <c r="D247" s="7"/>
      <c r="F247" s="7"/>
      <c r="G247" s="7"/>
      <c r="H247" s="7"/>
    </row>
    <row r="248" spans="2:8" x14ac:dyDescent="0.4">
      <c r="B248" s="7"/>
      <c r="C248" s="7"/>
      <c r="D248" s="7"/>
      <c r="F248" s="7"/>
      <c r="G248" s="7"/>
      <c r="H248" s="7"/>
    </row>
    <row r="249" spans="2:8" x14ac:dyDescent="0.4">
      <c r="B249" s="7"/>
      <c r="C249" s="7"/>
      <c r="D249" s="7"/>
      <c r="F249" s="7"/>
      <c r="G249" s="7"/>
      <c r="H249" s="7"/>
    </row>
    <row r="250" spans="2:8" x14ac:dyDescent="0.4">
      <c r="B250" s="7"/>
      <c r="C250" s="7"/>
      <c r="D250" s="7"/>
      <c r="F250" s="7"/>
      <c r="G250" s="7"/>
      <c r="H250" s="7"/>
    </row>
    <row r="251" spans="2:8" x14ac:dyDescent="0.4">
      <c r="B251" s="7"/>
      <c r="C251" s="7"/>
      <c r="D251" s="7"/>
      <c r="F251" s="7"/>
      <c r="G251" s="7"/>
      <c r="H251" s="7"/>
    </row>
    <row r="252" spans="2:8" x14ac:dyDescent="0.4">
      <c r="B252" s="7"/>
      <c r="C252" s="7"/>
      <c r="D252" s="7"/>
      <c r="F252" s="7"/>
      <c r="G252" s="7"/>
      <c r="H252" s="7"/>
    </row>
    <row r="253" spans="2:8" x14ac:dyDescent="0.4">
      <c r="B253" s="7"/>
      <c r="C253" s="7"/>
      <c r="D253" s="7"/>
      <c r="F253" s="7"/>
      <c r="G253" s="7"/>
      <c r="H253" s="7"/>
    </row>
    <row r="254" spans="2:8" x14ac:dyDescent="0.4">
      <c r="B254" s="7"/>
      <c r="C254" s="7"/>
      <c r="D254" s="7"/>
      <c r="F254" s="7"/>
      <c r="G254" s="7"/>
      <c r="H254" s="7"/>
    </row>
    <row r="255" spans="2:8" x14ac:dyDescent="0.4">
      <c r="B255" s="7"/>
      <c r="C255" s="7"/>
      <c r="D255" s="7"/>
      <c r="F255" s="7"/>
      <c r="G255" s="7"/>
      <c r="H255" s="7"/>
    </row>
    <row r="256" spans="2:8" x14ac:dyDescent="0.4">
      <c r="B256" s="7"/>
      <c r="C256" s="7"/>
      <c r="D256" s="7"/>
      <c r="F256" s="7"/>
      <c r="G256" s="7"/>
      <c r="H256" s="7"/>
    </row>
    <row r="257" spans="2:8" x14ac:dyDescent="0.4">
      <c r="B257" s="7"/>
      <c r="C257" s="7"/>
      <c r="D257" s="7"/>
      <c r="F257" s="7"/>
      <c r="G257" s="7"/>
      <c r="H257" s="7"/>
    </row>
    <row r="258" spans="2:8" x14ac:dyDescent="0.4">
      <c r="B258" s="7"/>
      <c r="C258" s="7"/>
      <c r="D258" s="7"/>
      <c r="F258" s="7"/>
      <c r="G258" s="7"/>
      <c r="H258" s="7"/>
    </row>
    <row r="259" spans="2:8" x14ac:dyDescent="0.4">
      <c r="B259" s="7"/>
      <c r="C259" s="7"/>
      <c r="D259" s="7"/>
      <c r="F259" s="7"/>
      <c r="G259" s="7"/>
      <c r="H259" s="7"/>
    </row>
    <row r="260" spans="2:8" x14ac:dyDescent="0.4">
      <c r="B260" s="7"/>
      <c r="C260" s="7"/>
      <c r="D260" s="7"/>
      <c r="F260" s="7"/>
      <c r="G260" s="7"/>
      <c r="H260" s="7"/>
    </row>
    <row r="261" spans="2:8" x14ac:dyDescent="0.4">
      <c r="B261" s="7"/>
      <c r="C261" s="7"/>
      <c r="D261" s="7"/>
      <c r="F261" s="7"/>
      <c r="G261" s="7"/>
      <c r="H261" s="7"/>
    </row>
    <row r="262" spans="2:8" x14ac:dyDescent="0.4">
      <c r="B262" s="7"/>
      <c r="C262" s="7"/>
      <c r="D262" s="7"/>
      <c r="F262" s="7"/>
      <c r="G262" s="7"/>
      <c r="H262" s="7"/>
    </row>
    <row r="263" spans="2:8" x14ac:dyDescent="0.4">
      <c r="B263" s="7"/>
      <c r="C263" s="7"/>
      <c r="D263" s="7"/>
      <c r="F263" s="7"/>
      <c r="G263" s="7"/>
      <c r="H263" s="7"/>
    </row>
    <row r="264" spans="2:8" x14ac:dyDescent="0.4">
      <c r="B264" s="7"/>
      <c r="C264" s="7"/>
      <c r="D264" s="7"/>
      <c r="F264" s="7"/>
      <c r="G264" s="7"/>
      <c r="H264" s="7"/>
    </row>
    <row r="265" spans="2:8" x14ac:dyDescent="0.4">
      <c r="B265" s="7"/>
      <c r="C265" s="7"/>
      <c r="D265" s="7"/>
      <c r="F265" s="7"/>
      <c r="G265" s="7"/>
      <c r="H265" s="7"/>
    </row>
    <row r="266" spans="2:8" x14ac:dyDescent="0.4">
      <c r="B266" s="7"/>
      <c r="C266" s="7"/>
      <c r="D266" s="7"/>
      <c r="F266" s="7"/>
      <c r="G266" s="7"/>
      <c r="H266" s="7"/>
    </row>
    <row r="267" spans="2:8" x14ac:dyDescent="0.4">
      <c r="B267" s="7"/>
      <c r="C267" s="7"/>
      <c r="D267" s="7"/>
      <c r="F267" s="7"/>
      <c r="G267" s="7"/>
      <c r="H267" s="7"/>
    </row>
    <row r="268" spans="2:8" x14ac:dyDescent="0.4">
      <c r="B268" s="7"/>
      <c r="C268" s="7"/>
      <c r="D268" s="7"/>
      <c r="F268" s="7"/>
      <c r="G268" s="7"/>
      <c r="H268" s="7"/>
    </row>
    <row r="269" spans="2:8" x14ac:dyDescent="0.4">
      <c r="B269" s="7"/>
      <c r="C269" s="7"/>
      <c r="D269" s="7"/>
      <c r="F269" s="7"/>
      <c r="G269" s="7"/>
      <c r="H269" s="7"/>
    </row>
    <row r="270" spans="2:8" x14ac:dyDescent="0.4">
      <c r="B270" s="7"/>
      <c r="C270" s="7"/>
      <c r="D270" s="7"/>
      <c r="F270" s="7"/>
      <c r="G270" s="7"/>
      <c r="H270" s="7"/>
    </row>
    <row r="271" spans="2:8" x14ac:dyDescent="0.4">
      <c r="B271" s="7"/>
      <c r="C271" s="7"/>
      <c r="D271" s="7"/>
      <c r="F271" s="7"/>
      <c r="G271" s="7"/>
      <c r="H271" s="7"/>
    </row>
    <row r="272" spans="2:8" x14ac:dyDescent="0.4">
      <c r="B272" s="7"/>
      <c r="C272" s="7"/>
      <c r="D272" s="7"/>
      <c r="F272" s="7"/>
      <c r="G272" s="7"/>
      <c r="H272" s="7"/>
    </row>
    <row r="273" spans="2:8" x14ac:dyDescent="0.4">
      <c r="B273" s="7"/>
      <c r="C273" s="7"/>
      <c r="D273" s="7"/>
      <c r="F273" s="7"/>
      <c r="G273" s="7"/>
      <c r="H273" s="7"/>
    </row>
    <row r="274" spans="2:8" x14ac:dyDescent="0.4">
      <c r="B274" s="7"/>
      <c r="C274" s="7"/>
      <c r="D274" s="7"/>
      <c r="F274" s="7"/>
      <c r="G274" s="7"/>
      <c r="H274" s="7"/>
    </row>
    <row r="275" spans="2:8" x14ac:dyDescent="0.4">
      <c r="B275" s="7"/>
      <c r="C275" s="7"/>
      <c r="D275" s="7"/>
      <c r="F275" s="7"/>
      <c r="G275" s="7"/>
      <c r="H275" s="7"/>
    </row>
    <row r="276" spans="2:8" x14ac:dyDescent="0.4">
      <c r="B276" s="7"/>
      <c r="C276" s="7"/>
      <c r="D276" s="7"/>
      <c r="F276" s="7"/>
      <c r="G276" s="7"/>
      <c r="H276" s="7"/>
    </row>
    <row r="277" spans="2:8" x14ac:dyDescent="0.4">
      <c r="B277" s="7"/>
      <c r="C277" s="7"/>
      <c r="D277" s="7"/>
      <c r="F277" s="7"/>
      <c r="G277" s="7"/>
      <c r="H277" s="7"/>
    </row>
    <row r="278" spans="2:8" x14ac:dyDescent="0.4">
      <c r="B278" s="7"/>
      <c r="C278" s="7"/>
      <c r="D278" s="7"/>
      <c r="F278" s="7"/>
      <c r="G278" s="7"/>
      <c r="H278" s="7"/>
    </row>
    <row r="279" spans="2:8" x14ac:dyDescent="0.4">
      <c r="B279" s="7"/>
      <c r="C279" s="7"/>
      <c r="D279" s="7"/>
      <c r="F279" s="7"/>
      <c r="G279" s="7"/>
      <c r="H279" s="7"/>
    </row>
    <row r="280" spans="2:8" x14ac:dyDescent="0.4">
      <c r="B280" s="7"/>
      <c r="C280" s="7"/>
      <c r="D280" s="7"/>
      <c r="F280" s="7"/>
      <c r="G280" s="7"/>
      <c r="H280" s="7"/>
    </row>
    <row r="281" spans="2:8" x14ac:dyDescent="0.4">
      <c r="B281" s="7"/>
      <c r="C281" s="7"/>
      <c r="D281" s="7"/>
      <c r="F281" s="7"/>
      <c r="G281" s="7"/>
      <c r="H281" s="7"/>
    </row>
    <row r="282" spans="2:8" x14ac:dyDescent="0.4">
      <c r="B282" s="7"/>
      <c r="C282" s="7"/>
      <c r="D282" s="7"/>
      <c r="F282" s="7"/>
      <c r="G282" s="7"/>
      <c r="H282" s="7"/>
    </row>
    <row r="283" spans="2:8" x14ac:dyDescent="0.4">
      <c r="B283" s="7"/>
      <c r="C283" s="7"/>
      <c r="D283" s="7"/>
      <c r="F283" s="7"/>
      <c r="G283" s="7"/>
      <c r="H283" s="7"/>
    </row>
    <row r="284" spans="2:8" x14ac:dyDescent="0.4">
      <c r="B284" s="7"/>
      <c r="C284" s="7"/>
      <c r="D284" s="7"/>
      <c r="F284" s="7"/>
      <c r="G284" s="7"/>
      <c r="H284" s="7"/>
    </row>
    <row r="285" spans="2:8" x14ac:dyDescent="0.4">
      <c r="B285" s="7"/>
      <c r="C285" s="7"/>
      <c r="D285" s="7"/>
      <c r="F285" s="7"/>
      <c r="G285" s="7"/>
      <c r="H285" s="7"/>
    </row>
    <row r="286" spans="2:8" x14ac:dyDescent="0.4">
      <c r="B286" s="7"/>
      <c r="C286" s="7"/>
      <c r="D286" s="7"/>
      <c r="F286" s="7"/>
      <c r="G286" s="7"/>
      <c r="H286" s="7"/>
    </row>
    <row r="287" spans="2:8" x14ac:dyDescent="0.4">
      <c r="B287" s="7"/>
      <c r="C287" s="7"/>
      <c r="D287" s="7"/>
      <c r="F287" s="7"/>
      <c r="G287" s="7"/>
      <c r="H287" s="7"/>
    </row>
    <row r="288" spans="2:8" x14ac:dyDescent="0.4">
      <c r="B288" s="7"/>
      <c r="C288" s="7"/>
      <c r="D288" s="7"/>
      <c r="F288" s="7"/>
      <c r="G288" s="7"/>
      <c r="H288" s="7"/>
    </row>
    <row r="289" spans="2:8" x14ac:dyDescent="0.4">
      <c r="B289" s="7"/>
      <c r="C289" s="7"/>
      <c r="D289" s="7"/>
      <c r="F289" s="7"/>
      <c r="G289" s="7"/>
      <c r="H289" s="7"/>
    </row>
    <row r="290" spans="2:8" x14ac:dyDescent="0.4">
      <c r="B290" s="7"/>
      <c r="C290" s="7"/>
      <c r="D290" s="7"/>
      <c r="F290" s="7"/>
      <c r="G290" s="7"/>
      <c r="H290" s="7"/>
    </row>
    <row r="291" spans="2:8" x14ac:dyDescent="0.4">
      <c r="B291" s="7"/>
      <c r="C291" s="7"/>
      <c r="D291" s="7"/>
      <c r="F291" s="7"/>
      <c r="G291" s="7"/>
      <c r="H291" s="7"/>
    </row>
    <row r="292" spans="2:8" x14ac:dyDescent="0.4">
      <c r="B292" s="7"/>
      <c r="C292" s="7"/>
      <c r="D292" s="7"/>
      <c r="F292" s="7"/>
      <c r="G292" s="7"/>
      <c r="H292" s="7"/>
    </row>
    <row r="293" spans="2:8" x14ac:dyDescent="0.4">
      <c r="B293" s="7"/>
      <c r="C293" s="7"/>
      <c r="D293" s="7"/>
      <c r="F293" s="7"/>
      <c r="G293" s="7"/>
      <c r="H293" s="7"/>
    </row>
    <row r="294" spans="2:8" x14ac:dyDescent="0.4">
      <c r="B294" s="7"/>
      <c r="C294" s="7"/>
      <c r="D294" s="7"/>
      <c r="F294" s="7"/>
      <c r="G294" s="7"/>
      <c r="H294" s="7"/>
    </row>
    <row r="295" spans="2:8" x14ac:dyDescent="0.4">
      <c r="B295" s="7"/>
      <c r="C295" s="7"/>
      <c r="D295" s="7"/>
      <c r="F295" s="7"/>
      <c r="G295" s="7"/>
      <c r="H295" s="7"/>
    </row>
    <row r="296" spans="2:8" x14ac:dyDescent="0.4">
      <c r="B296" s="7"/>
      <c r="C296" s="7"/>
      <c r="D296" s="7"/>
      <c r="F296" s="7"/>
      <c r="G296" s="7"/>
      <c r="H296" s="7"/>
    </row>
    <row r="297" spans="2:8" x14ac:dyDescent="0.4">
      <c r="B297" s="7"/>
      <c r="C297" s="7"/>
      <c r="D297" s="7"/>
      <c r="F297" s="7"/>
      <c r="G297" s="7"/>
      <c r="H297" s="7"/>
    </row>
    <row r="298" spans="2:8" x14ac:dyDescent="0.4">
      <c r="B298" s="7"/>
      <c r="C298" s="7"/>
      <c r="D298" s="7"/>
      <c r="F298" s="7"/>
      <c r="G298" s="7"/>
      <c r="H298" s="7"/>
    </row>
    <row r="299" spans="2:8" x14ac:dyDescent="0.4">
      <c r="B299" s="7"/>
      <c r="C299" s="7"/>
      <c r="D299" s="7"/>
      <c r="F299" s="7"/>
      <c r="G299" s="7"/>
      <c r="H299" s="7"/>
    </row>
    <row r="300" spans="2:8" x14ac:dyDescent="0.4">
      <c r="B300" s="7"/>
      <c r="C300" s="7"/>
      <c r="D300" s="7"/>
      <c r="F300" s="7"/>
      <c r="G300" s="7"/>
      <c r="H300" s="7"/>
    </row>
    <row r="301" spans="2:8" x14ac:dyDescent="0.4">
      <c r="B301" s="7"/>
      <c r="C301" s="7"/>
      <c r="D301" s="7"/>
      <c r="F301" s="7"/>
      <c r="G301" s="7"/>
      <c r="H301" s="7"/>
    </row>
    <row r="302" spans="2:8" x14ac:dyDescent="0.4">
      <c r="B302" s="7"/>
      <c r="C302" s="7"/>
      <c r="D302" s="7"/>
      <c r="F302" s="7"/>
      <c r="G302" s="7"/>
      <c r="H302" s="7"/>
    </row>
    <row r="303" spans="2:8" x14ac:dyDescent="0.4">
      <c r="B303" s="7"/>
      <c r="C303" s="7"/>
      <c r="D303" s="7"/>
      <c r="F303" s="7"/>
      <c r="G303" s="7"/>
      <c r="H303" s="7"/>
    </row>
    <row r="304" spans="2:8" x14ac:dyDescent="0.4">
      <c r="B304" s="7"/>
      <c r="C304" s="7"/>
      <c r="D304" s="7"/>
      <c r="F304" s="7"/>
      <c r="G304" s="7"/>
      <c r="H304" s="7"/>
    </row>
  </sheetData>
  <mergeCells count="21">
    <mergeCell ref="A1:J1"/>
    <mergeCell ref="B3:D3"/>
    <mergeCell ref="F3:H3"/>
    <mergeCell ref="J3:K3"/>
    <mergeCell ref="J4:K4"/>
    <mergeCell ref="M16:M17"/>
    <mergeCell ref="N16:N17"/>
    <mergeCell ref="J18:J19"/>
    <mergeCell ref="K18:K19"/>
    <mergeCell ref="M18:M19"/>
    <mergeCell ref="N18:N19"/>
    <mergeCell ref="J16:J17"/>
    <mergeCell ref="K16:K17"/>
    <mergeCell ref="N20:N21"/>
    <mergeCell ref="J22:J23"/>
    <mergeCell ref="K22:K23"/>
    <mergeCell ref="M22:M23"/>
    <mergeCell ref="N22:N23"/>
    <mergeCell ref="J20:J21"/>
    <mergeCell ref="K20:K21"/>
    <mergeCell ref="M20:M21"/>
  </mergeCells>
  <phoneticPr fontId="1"/>
  <conditionalFormatting sqref="B4:D330">
    <cfRule type="cellIs" dxfId="29" priority="6" operator="equal">
      <formula>"牛お化け"</formula>
    </cfRule>
    <cfRule type="cellIs" dxfId="28" priority="7" operator="equal">
      <formula>"上タヌキ"</formula>
    </cfRule>
    <cfRule type="cellIs" dxfId="27" priority="8" operator="equal">
      <formula>"デカタヌキ"</formula>
    </cfRule>
    <cfRule type="containsText" dxfId="26" priority="9" operator="containsText" text="タヌキ">
      <formula>NOT(ISERROR(SEARCH("タヌキ",B4)))</formula>
    </cfRule>
    <cfRule type="containsText" dxfId="25" priority="10" operator="containsText" text="スタート">
      <formula>NOT(ISERROR(SEARCH("スタート",B4)))</formula>
    </cfRule>
  </conditionalFormatting>
  <conditionalFormatting sqref="F4:H350">
    <cfRule type="cellIs" dxfId="24" priority="1" operator="equal">
      <formula>"スタート"</formula>
    </cfRule>
    <cfRule type="containsText" dxfId="23" priority="2" operator="containsText" text="Y">
      <formula>NOT(ISERROR(SEARCH("Y",F4)))</formula>
    </cfRule>
    <cfRule type="containsText" dxfId="22" priority="3" operator="containsText" text="B">
      <formula>NOT(ISERROR(SEARCH("B",F4)))</formula>
    </cfRule>
    <cfRule type="containsText" dxfId="21" priority="4" operator="containsText" text="X">
      <formula>NOT(ISERROR(SEARCH("X",F4)))</formula>
    </cfRule>
    <cfRule type="containsText" dxfId="20" priority="5" operator="containsText" text="A">
      <formula>NOT(ISERROR(SEARCH("A",F4)))</formula>
    </cfRule>
  </conditionalFormatting>
  <dataValidations count="2">
    <dataValidation type="list" allowBlank="1" showInputMessage="1" showErrorMessage="1" sqref="F4:H327">
      <formula1>"A,B,X,Y"</formula1>
    </dataValidation>
    <dataValidation type="list" allowBlank="1" showInputMessage="1" showErrorMessage="1" sqref="B4:D311">
      <formula1>"タヌキ,牛お化け,上タヌキ,デカタヌキ"</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CommandButton1">
          <controlPr defaultSize="0" autoLine="0" r:id="rId5">
            <anchor moveWithCells="1">
              <from>
                <xdr:col>9</xdr:col>
                <xdr:colOff>19050</xdr:colOff>
                <xdr:row>9</xdr:row>
                <xdr:rowOff>19050</xdr:rowOff>
              </from>
              <to>
                <xdr:col>12</xdr:col>
                <xdr:colOff>485775</xdr:colOff>
                <xdr:row>11</xdr:row>
                <xdr:rowOff>209550</xdr:rowOff>
              </to>
            </anchor>
          </controlPr>
        </control>
      </mc:Choice>
      <mc:Fallback>
        <control shapeId="2049" r:id="rId4" name="CommandButton1"/>
      </mc:Fallback>
    </mc:AlternateContent>
    <mc:AlternateContent xmlns:mc="http://schemas.openxmlformats.org/markup-compatibility/2006">
      <mc:Choice Requires="x14">
        <control shapeId="2050" r:id="rId6" name="Stage_Long_OneUP">
          <controlPr defaultSize="0" autoLine="0" r:id="rId7">
            <anchor moveWithCells="1">
              <from>
                <xdr:col>11</xdr:col>
                <xdr:colOff>0</xdr:colOff>
                <xdr:row>1</xdr:row>
                <xdr:rowOff>219075</xdr:rowOff>
              </from>
              <to>
                <xdr:col>11</xdr:col>
                <xdr:colOff>685800</xdr:colOff>
                <xdr:row>2</xdr:row>
                <xdr:rowOff>219075</xdr:rowOff>
              </to>
            </anchor>
          </controlPr>
        </control>
      </mc:Choice>
      <mc:Fallback>
        <control shapeId="2050" r:id="rId6" name="Stage_Long_OneUP"/>
      </mc:Fallback>
    </mc:AlternateContent>
    <mc:AlternateContent xmlns:mc="http://schemas.openxmlformats.org/markup-compatibility/2006">
      <mc:Choice Requires="x14">
        <control shapeId="2051" r:id="rId8" name="Stage_Long_OneDown">
          <controlPr defaultSize="0" autoLine="0" r:id="rId9">
            <anchor moveWithCells="1">
              <from>
                <xdr:col>11</xdr:col>
                <xdr:colOff>0</xdr:colOff>
                <xdr:row>2</xdr:row>
                <xdr:rowOff>219075</xdr:rowOff>
              </from>
              <to>
                <xdr:col>11</xdr:col>
                <xdr:colOff>685800</xdr:colOff>
                <xdr:row>3</xdr:row>
                <xdr:rowOff>228600</xdr:rowOff>
              </to>
            </anchor>
          </controlPr>
        </control>
      </mc:Choice>
      <mc:Fallback>
        <control shapeId="2051" r:id="rId8" name="Stage_Long_OneDown"/>
      </mc:Fallback>
    </mc:AlternateContent>
    <mc:AlternateContent xmlns:mc="http://schemas.openxmlformats.org/markup-compatibility/2006">
      <mc:Choice Requires="x14">
        <control shapeId="2052" r:id="rId10" name="Stage_Long_TenDown">
          <controlPr defaultSize="0" autoLine="0" r:id="rId11">
            <anchor moveWithCells="1">
              <from>
                <xdr:col>11</xdr:col>
                <xdr:colOff>0</xdr:colOff>
                <xdr:row>4</xdr:row>
                <xdr:rowOff>19050</xdr:rowOff>
              </from>
              <to>
                <xdr:col>11</xdr:col>
                <xdr:colOff>685800</xdr:colOff>
                <xdr:row>5</xdr:row>
                <xdr:rowOff>28575</xdr:rowOff>
              </to>
            </anchor>
          </controlPr>
        </control>
      </mc:Choice>
      <mc:Fallback>
        <control shapeId="2052" r:id="rId10" name="Stage_Long_TenDown"/>
      </mc:Fallback>
    </mc:AlternateContent>
    <mc:AlternateContent xmlns:mc="http://schemas.openxmlformats.org/markup-compatibility/2006">
      <mc:Choice Requires="x14">
        <control shapeId="2053" r:id="rId12" name="Stage_Long_TenUP">
          <controlPr defaultSize="0" autoLine="0" r:id="rId13">
            <anchor moveWithCells="1">
              <from>
                <xdr:col>11</xdr:col>
                <xdr:colOff>9525</xdr:colOff>
                <xdr:row>1</xdr:row>
                <xdr:rowOff>0</xdr:rowOff>
              </from>
              <to>
                <xdr:col>12</xdr:col>
                <xdr:colOff>0</xdr:colOff>
                <xdr:row>2</xdr:row>
                <xdr:rowOff>0</xdr:rowOff>
              </to>
            </anchor>
          </controlPr>
        </control>
      </mc:Choice>
      <mc:Fallback>
        <control shapeId="2053" r:id="rId12" name="Stage_Long_TenUP"/>
      </mc:Fallback>
    </mc:AlternateContent>
    <mc:AlternateContent xmlns:mc="http://schemas.openxmlformats.org/markup-compatibility/2006">
      <mc:Choice Requires="x14">
        <control shapeId="2054" r:id="rId14" name="CommandCheck">
          <controlPr defaultSize="0" autoLine="0" r:id="rId15">
            <anchor moveWithCells="1">
              <from>
                <xdr:col>9</xdr:col>
                <xdr:colOff>9525</xdr:colOff>
                <xdr:row>6</xdr:row>
                <xdr:rowOff>19050</xdr:rowOff>
              </from>
              <to>
                <xdr:col>12</xdr:col>
                <xdr:colOff>561975</xdr:colOff>
                <xdr:row>8</xdr:row>
                <xdr:rowOff>38100</xdr:rowOff>
              </to>
            </anchor>
          </controlPr>
        </control>
      </mc:Choice>
      <mc:Fallback>
        <control shapeId="2054" r:id="rId14" name="CommandChec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V304"/>
  <sheetViews>
    <sheetView tabSelected="1" topLeftCell="A55" zoomScale="85" zoomScaleNormal="85" workbookViewId="0">
      <selection activeCell="H54" sqref="B54:H54"/>
    </sheetView>
  </sheetViews>
  <sheetFormatPr defaultColWidth="8.75" defaultRowHeight="18.75" x14ac:dyDescent="0.4"/>
  <cols>
    <col min="1" max="1" width="8.75" style="12"/>
    <col min="2" max="4" width="11" style="12" bestFit="1" customWidth="1"/>
    <col min="5" max="9" width="8.75" style="12"/>
    <col min="10" max="10" width="10.375" style="12" bestFit="1" customWidth="1"/>
    <col min="11" max="14" width="8.75" style="12"/>
    <col min="15" max="15" width="3.125" style="12" customWidth="1"/>
    <col min="16" max="16384" width="8.75" style="12"/>
  </cols>
  <sheetData>
    <row r="1" spans="1:22" ht="36" customHeight="1" thickBot="1" x14ac:dyDescent="0.45">
      <c r="A1" s="37" t="s">
        <v>32</v>
      </c>
      <c r="B1" s="37"/>
      <c r="C1" s="37"/>
      <c r="D1" s="37"/>
      <c r="E1" s="37"/>
      <c r="F1" s="37"/>
      <c r="G1" s="37"/>
      <c r="H1" s="37"/>
      <c r="I1" s="37"/>
      <c r="J1" s="37"/>
    </row>
    <row r="2" spans="1:22" ht="19.5" thickBot="1" x14ac:dyDescent="0.45">
      <c r="A2" s="11"/>
      <c r="B2" s="30" t="s">
        <v>3</v>
      </c>
      <c r="F2" s="31" t="s">
        <v>49</v>
      </c>
      <c r="P2" s="27" t="s">
        <v>14</v>
      </c>
      <c r="Q2" s="28"/>
      <c r="R2" s="28"/>
      <c r="S2" s="28"/>
      <c r="T2" s="28"/>
      <c r="U2" s="28"/>
      <c r="V2" s="29"/>
    </row>
    <row r="3" spans="1:22" ht="18.75" customHeight="1" x14ac:dyDescent="0.4">
      <c r="B3" s="51" t="s">
        <v>50</v>
      </c>
      <c r="C3" s="51"/>
      <c r="D3" s="51"/>
      <c r="F3" s="51" t="s">
        <v>50</v>
      </c>
      <c r="G3" s="51"/>
      <c r="H3" s="51"/>
      <c r="J3" s="52" t="s">
        <v>0</v>
      </c>
      <c r="K3" s="52"/>
      <c r="P3" s="18" t="s">
        <v>18</v>
      </c>
      <c r="Q3" s="16"/>
      <c r="R3" s="16"/>
      <c r="S3" s="16"/>
      <c r="T3" s="16"/>
      <c r="U3" s="16"/>
      <c r="V3" s="19"/>
    </row>
    <row r="4" spans="1:22" x14ac:dyDescent="0.4">
      <c r="B4" s="1" t="s">
        <v>5</v>
      </c>
      <c r="C4" s="2" t="s">
        <v>15</v>
      </c>
      <c r="D4" s="3" t="s">
        <v>5</v>
      </c>
      <c r="E4" s="33"/>
      <c r="F4" s="1" t="s">
        <v>9</v>
      </c>
      <c r="G4" s="2" t="s">
        <v>10</v>
      </c>
      <c r="H4" s="3" t="s">
        <v>40</v>
      </c>
      <c r="I4" s="7"/>
      <c r="J4" s="53">
        <v>85</v>
      </c>
      <c r="K4" s="53"/>
      <c r="L4" s="7"/>
      <c r="M4" s="7"/>
      <c r="N4" s="7"/>
      <c r="O4" s="7"/>
      <c r="P4" s="20"/>
      <c r="Q4" s="16"/>
      <c r="R4" s="16"/>
      <c r="S4" s="16"/>
      <c r="T4" s="16"/>
      <c r="U4" s="16"/>
      <c r="V4" s="19"/>
    </row>
    <row r="5" spans="1:22" x14ac:dyDescent="0.4">
      <c r="B5" s="9"/>
      <c r="C5" s="8"/>
      <c r="D5" s="10"/>
      <c r="E5" s="33"/>
      <c r="F5" s="4"/>
      <c r="G5" s="34"/>
      <c r="H5" s="6"/>
      <c r="I5" s="7"/>
      <c r="J5" s="7"/>
      <c r="K5" s="7"/>
      <c r="L5" s="7"/>
      <c r="M5" s="7"/>
      <c r="N5" s="7"/>
      <c r="O5" s="7"/>
      <c r="P5" s="18" t="s">
        <v>19</v>
      </c>
      <c r="Q5" s="16"/>
      <c r="R5" s="16"/>
      <c r="S5" s="16"/>
      <c r="T5" s="16"/>
      <c r="U5" s="16"/>
      <c r="V5" s="19"/>
    </row>
    <row r="6" spans="1:22" x14ac:dyDescent="0.4">
      <c r="B6" s="4"/>
      <c r="C6" s="34"/>
      <c r="D6" s="6"/>
      <c r="E6" s="33"/>
      <c r="F6" s="4"/>
      <c r="G6" s="34"/>
      <c r="H6" s="6"/>
      <c r="I6" s="7"/>
      <c r="J6" s="7"/>
      <c r="K6" s="7"/>
      <c r="L6" s="7"/>
      <c r="M6" s="7"/>
      <c r="N6" s="7"/>
      <c r="O6" s="7"/>
      <c r="P6" s="18" t="s">
        <v>20</v>
      </c>
      <c r="Q6" s="16"/>
      <c r="R6" s="16"/>
      <c r="S6" s="16"/>
      <c r="T6" s="16"/>
      <c r="U6" s="16"/>
      <c r="V6" s="19"/>
    </row>
    <row r="7" spans="1:22" x14ac:dyDescent="0.4">
      <c r="B7" s="4"/>
      <c r="C7" s="34"/>
      <c r="D7" s="6"/>
      <c r="E7" s="33"/>
      <c r="F7" s="4"/>
      <c r="G7" s="34"/>
      <c r="H7" s="6"/>
      <c r="I7" s="7"/>
      <c r="J7" s="7"/>
      <c r="K7" s="7"/>
      <c r="L7" s="7"/>
      <c r="M7" s="7"/>
      <c r="N7" s="7"/>
      <c r="O7" s="7"/>
      <c r="P7" s="18" t="s">
        <v>21</v>
      </c>
      <c r="Q7" s="17"/>
      <c r="R7" s="17"/>
      <c r="S7" s="17"/>
      <c r="T7" s="17"/>
      <c r="U7" s="16"/>
      <c r="V7" s="19"/>
    </row>
    <row r="8" spans="1:22" x14ac:dyDescent="0.4">
      <c r="B8" s="4" t="s">
        <v>34</v>
      </c>
      <c r="C8" s="34" t="s">
        <v>34</v>
      </c>
      <c r="D8" s="6" t="s">
        <v>34</v>
      </c>
      <c r="E8" s="33"/>
      <c r="F8" s="4" t="s">
        <v>41</v>
      </c>
      <c r="G8" s="34" t="s">
        <v>40</v>
      </c>
      <c r="H8" s="6" t="s">
        <v>16</v>
      </c>
      <c r="I8" s="7"/>
      <c r="J8" s="7"/>
      <c r="K8" s="7"/>
      <c r="L8" s="7"/>
      <c r="M8" s="7"/>
      <c r="N8" s="7"/>
      <c r="O8" s="7"/>
      <c r="P8" s="21"/>
      <c r="Q8" s="7"/>
      <c r="R8" s="7"/>
      <c r="S8" s="7"/>
      <c r="T8" s="7"/>
      <c r="U8" s="7"/>
      <c r="V8" s="22"/>
    </row>
    <row r="9" spans="1:22" x14ac:dyDescent="0.4">
      <c r="B9" s="4"/>
      <c r="C9" s="34" t="s">
        <v>6</v>
      </c>
      <c r="D9" s="6"/>
      <c r="E9" s="33"/>
      <c r="F9" s="4"/>
      <c r="G9" s="34" t="s">
        <v>16</v>
      </c>
      <c r="H9" s="6"/>
      <c r="I9" s="7"/>
      <c r="J9" s="7"/>
      <c r="K9" s="7"/>
      <c r="L9" s="7"/>
      <c r="M9" s="7"/>
      <c r="N9" s="7"/>
      <c r="O9" s="7"/>
      <c r="P9" s="21" t="s">
        <v>22</v>
      </c>
      <c r="Q9" s="7"/>
      <c r="R9" s="7"/>
      <c r="S9" s="7"/>
      <c r="T9" s="7"/>
      <c r="U9" s="7"/>
      <c r="V9" s="22"/>
    </row>
    <row r="10" spans="1:22" ht="18.75" customHeight="1" x14ac:dyDescent="0.4">
      <c r="B10" s="4"/>
      <c r="C10" s="34" t="s">
        <v>6</v>
      </c>
      <c r="D10" s="6"/>
      <c r="E10" s="33"/>
      <c r="F10" s="4"/>
      <c r="G10" s="34" t="s">
        <v>16</v>
      </c>
      <c r="H10" s="6"/>
      <c r="I10" s="7"/>
      <c r="J10" s="7"/>
      <c r="K10" s="7"/>
      <c r="L10" s="7"/>
      <c r="M10" s="7"/>
      <c r="N10" s="7"/>
      <c r="O10" s="7"/>
      <c r="P10" s="18" t="s">
        <v>23</v>
      </c>
      <c r="Q10" s="17"/>
      <c r="R10" s="17"/>
      <c r="S10" s="17"/>
      <c r="T10" s="17"/>
      <c r="U10" s="17"/>
      <c r="V10" s="23"/>
    </row>
    <row r="11" spans="1:22" x14ac:dyDescent="0.4">
      <c r="B11" s="4"/>
      <c r="C11" s="34" t="s">
        <v>6</v>
      </c>
      <c r="D11" s="6"/>
      <c r="E11" s="33"/>
      <c r="F11" s="4"/>
      <c r="G11" s="34" t="s">
        <v>16</v>
      </c>
      <c r="H11" s="6"/>
      <c r="I11" s="7"/>
      <c r="J11" s="7"/>
      <c r="K11" s="7"/>
      <c r="L11" s="7"/>
      <c r="M11" s="7"/>
      <c r="N11" s="7"/>
      <c r="O11" s="7"/>
      <c r="P11" s="18" t="s">
        <v>26</v>
      </c>
      <c r="Q11" s="17"/>
      <c r="R11" s="17"/>
      <c r="S11" s="17"/>
      <c r="T11" s="17"/>
      <c r="U11" s="17"/>
      <c r="V11" s="23"/>
    </row>
    <row r="12" spans="1:22" x14ac:dyDescent="0.4">
      <c r="B12" s="9"/>
      <c r="C12" s="8"/>
      <c r="D12" s="10"/>
      <c r="E12" s="33"/>
      <c r="F12" s="9"/>
      <c r="G12" s="8"/>
      <c r="H12" s="10"/>
      <c r="I12" s="7"/>
      <c r="J12" s="7"/>
      <c r="K12" s="7"/>
      <c r="L12" s="7"/>
      <c r="M12" s="7"/>
      <c r="N12" s="7"/>
      <c r="O12" s="7"/>
      <c r="P12" s="21" t="s">
        <v>24</v>
      </c>
      <c r="Q12" s="7"/>
      <c r="R12" s="7"/>
      <c r="S12" s="7"/>
      <c r="T12" s="7"/>
      <c r="U12" s="7"/>
      <c r="V12" s="22"/>
    </row>
    <row r="13" spans="1:22" x14ac:dyDescent="0.4">
      <c r="B13" s="4"/>
      <c r="C13" s="34"/>
      <c r="D13" s="6"/>
      <c r="E13" s="33"/>
      <c r="F13" s="4"/>
      <c r="G13" s="34"/>
      <c r="H13" s="6"/>
      <c r="I13" s="7"/>
      <c r="J13" s="7"/>
      <c r="K13" s="7"/>
      <c r="L13" s="7"/>
      <c r="M13" s="7"/>
      <c r="N13" s="7"/>
      <c r="O13" s="7"/>
      <c r="P13" s="21" t="s">
        <v>25</v>
      </c>
      <c r="Q13" s="7"/>
      <c r="R13" s="7"/>
      <c r="S13" s="7"/>
      <c r="T13" s="7"/>
      <c r="U13" s="7"/>
      <c r="V13" s="22"/>
    </row>
    <row r="14" spans="1:22" x14ac:dyDescent="0.4">
      <c r="B14" s="4"/>
      <c r="C14" s="34"/>
      <c r="D14" s="6"/>
      <c r="E14" s="33"/>
      <c r="F14" s="4"/>
      <c r="G14" s="34"/>
      <c r="H14" s="6"/>
      <c r="I14" s="7"/>
      <c r="J14" s="33"/>
      <c r="K14" s="7"/>
      <c r="L14" s="7"/>
      <c r="M14" s="7"/>
      <c r="N14" s="7"/>
      <c r="O14" s="7"/>
      <c r="P14" s="21" t="s">
        <v>27</v>
      </c>
      <c r="Q14" s="7"/>
      <c r="R14" s="7"/>
      <c r="S14" s="7"/>
      <c r="T14" s="7"/>
      <c r="U14" s="7"/>
      <c r="V14" s="22"/>
    </row>
    <row r="15" spans="1:22" ht="19.5" thickBot="1" x14ac:dyDescent="0.45">
      <c r="B15" s="4" t="s">
        <v>34</v>
      </c>
      <c r="C15" s="34"/>
      <c r="D15" s="6" t="s">
        <v>34</v>
      </c>
      <c r="E15" s="33"/>
      <c r="F15" s="4" t="s">
        <v>16</v>
      </c>
      <c r="G15" s="34"/>
      <c r="H15" s="6" t="s">
        <v>39</v>
      </c>
      <c r="I15" s="7"/>
      <c r="J15" s="33" t="s">
        <v>37</v>
      </c>
      <c r="L15" s="7"/>
      <c r="M15" s="7" t="s">
        <v>12</v>
      </c>
      <c r="P15" s="21" t="s">
        <v>28</v>
      </c>
      <c r="Q15" s="7"/>
      <c r="R15" s="7"/>
      <c r="S15" s="7"/>
      <c r="T15" s="7"/>
      <c r="U15" s="7"/>
      <c r="V15" s="22"/>
    </row>
    <row r="16" spans="1:22" x14ac:dyDescent="0.4">
      <c r="B16" s="4"/>
      <c r="C16" s="34"/>
      <c r="D16" s="6"/>
      <c r="E16" s="33"/>
      <c r="F16" s="4"/>
      <c r="G16" s="34"/>
      <c r="H16" s="6"/>
      <c r="I16" s="7"/>
      <c r="J16" s="38" t="s">
        <v>51</v>
      </c>
      <c r="K16" s="47">
        <f>COUNTIF(B4:D314, "タヌキ")</f>
        <v>7</v>
      </c>
      <c r="L16" s="7"/>
      <c r="M16" s="38" t="s">
        <v>9</v>
      </c>
      <c r="N16" s="42">
        <f>COUNTIF(F4:H312,"A")</f>
        <v>11</v>
      </c>
      <c r="P16" s="21"/>
      <c r="Q16" s="7"/>
      <c r="R16" s="7"/>
      <c r="S16" s="7"/>
      <c r="T16" s="7"/>
      <c r="U16" s="7"/>
      <c r="V16" s="22"/>
    </row>
    <row r="17" spans="2:22" x14ac:dyDescent="0.4">
      <c r="B17" s="4"/>
      <c r="C17" s="34"/>
      <c r="D17" s="6"/>
      <c r="E17" s="33"/>
      <c r="F17" s="4"/>
      <c r="G17" s="34"/>
      <c r="H17" s="6"/>
      <c r="I17" s="7"/>
      <c r="J17" s="39"/>
      <c r="K17" s="48"/>
      <c r="L17" s="7"/>
      <c r="M17" s="39"/>
      <c r="N17" s="40"/>
      <c r="P17" s="21" t="s">
        <v>29</v>
      </c>
      <c r="Q17" s="7"/>
      <c r="R17" s="7"/>
      <c r="S17" s="7"/>
      <c r="T17" s="7"/>
      <c r="U17" s="7"/>
      <c r="V17" s="22"/>
    </row>
    <row r="18" spans="2:22" x14ac:dyDescent="0.4">
      <c r="B18" s="4"/>
      <c r="C18" s="34"/>
      <c r="D18" s="6"/>
      <c r="E18" s="33"/>
      <c r="F18" s="4"/>
      <c r="G18" s="34"/>
      <c r="H18" s="6"/>
      <c r="I18" s="7"/>
      <c r="J18" s="49" t="s">
        <v>33</v>
      </c>
      <c r="K18" s="48">
        <f>COUNTIF(B4:D314, "牛お化け")</f>
        <v>2</v>
      </c>
      <c r="L18" s="7"/>
      <c r="M18" s="46" t="s">
        <v>10</v>
      </c>
      <c r="N18" s="40">
        <f>COUNTIF(F:H,"B")</f>
        <v>7</v>
      </c>
      <c r="P18" s="21" t="s">
        <v>30</v>
      </c>
      <c r="Q18" s="7"/>
      <c r="R18" s="7"/>
      <c r="S18" s="7"/>
      <c r="T18" s="7"/>
      <c r="U18" s="7"/>
      <c r="V18" s="22"/>
    </row>
    <row r="19" spans="2:22" ht="19.5" thickBot="1" x14ac:dyDescent="0.45">
      <c r="B19" s="4"/>
      <c r="C19" s="34"/>
      <c r="D19" s="6"/>
      <c r="E19" s="11"/>
      <c r="F19" s="4"/>
      <c r="G19" s="34"/>
      <c r="H19" s="6"/>
      <c r="J19" s="49"/>
      <c r="K19" s="48"/>
      <c r="M19" s="46"/>
      <c r="N19" s="40"/>
      <c r="P19" s="24" t="s">
        <v>31</v>
      </c>
      <c r="Q19" s="25"/>
      <c r="R19" s="25"/>
      <c r="S19" s="25"/>
      <c r="T19" s="25"/>
      <c r="U19" s="25"/>
      <c r="V19" s="26"/>
    </row>
    <row r="20" spans="2:22" x14ac:dyDescent="0.4">
      <c r="B20" s="4"/>
      <c r="C20" s="34"/>
      <c r="D20" s="6"/>
      <c r="E20" s="11"/>
      <c r="F20" s="4"/>
      <c r="G20" s="34"/>
      <c r="H20" s="6"/>
      <c r="J20" s="46" t="s">
        <v>35</v>
      </c>
      <c r="K20" s="48">
        <f>COUNTIF(B4:D316, "上タヌキ")</f>
        <v>15</v>
      </c>
      <c r="M20" s="45" t="s">
        <v>52</v>
      </c>
      <c r="N20" s="40">
        <f>COUNTIF(F:H,"X")</f>
        <v>3</v>
      </c>
    </row>
    <row r="21" spans="2:22" x14ac:dyDescent="0.4">
      <c r="B21" s="4"/>
      <c r="C21" s="34" t="s">
        <v>6</v>
      </c>
      <c r="D21" s="6"/>
      <c r="E21" s="11"/>
      <c r="F21" s="4"/>
      <c r="G21" s="34" t="s">
        <v>39</v>
      </c>
      <c r="H21" s="6"/>
      <c r="J21" s="46"/>
      <c r="K21" s="48"/>
      <c r="M21" s="45"/>
      <c r="N21" s="40"/>
    </row>
    <row r="22" spans="2:22" x14ac:dyDescent="0.4">
      <c r="B22" s="4"/>
      <c r="C22" s="34"/>
      <c r="D22" s="6"/>
      <c r="E22" s="11"/>
      <c r="F22" s="4"/>
      <c r="G22" s="34"/>
      <c r="H22" s="6"/>
      <c r="J22" s="45" t="s">
        <v>5</v>
      </c>
      <c r="K22" s="48">
        <f>COUNTIF(B4:D318, "デカタヌキ")</f>
        <v>3</v>
      </c>
      <c r="M22" s="43" t="s">
        <v>8</v>
      </c>
      <c r="N22" s="40">
        <f>COUNTIF(F:H, "Y")</f>
        <v>6</v>
      </c>
    </row>
    <row r="23" spans="2:22" ht="19.5" thickBot="1" x14ac:dyDescent="0.45">
      <c r="B23" s="4"/>
      <c r="C23" s="34"/>
      <c r="D23" s="6" t="s">
        <v>6</v>
      </c>
      <c r="E23" s="11"/>
      <c r="F23" s="4"/>
      <c r="G23" s="34"/>
      <c r="H23" s="6" t="s">
        <v>41</v>
      </c>
      <c r="J23" s="50"/>
      <c r="K23" s="54"/>
      <c r="M23" s="44"/>
      <c r="N23" s="41"/>
    </row>
    <row r="24" spans="2:22" x14ac:dyDescent="0.4">
      <c r="B24" s="4"/>
      <c r="C24" s="34"/>
      <c r="D24" s="6"/>
      <c r="E24" s="11"/>
      <c r="F24" s="4"/>
      <c r="G24" s="34"/>
      <c r="H24" s="6"/>
    </row>
    <row r="25" spans="2:22" x14ac:dyDescent="0.4">
      <c r="B25" s="4"/>
      <c r="C25" s="34"/>
      <c r="D25" s="6" t="s">
        <v>6</v>
      </c>
      <c r="E25" s="11"/>
      <c r="F25" s="4"/>
      <c r="G25" s="34"/>
      <c r="H25" s="6" t="s">
        <v>16</v>
      </c>
    </row>
    <row r="26" spans="2:22" x14ac:dyDescent="0.4">
      <c r="B26" s="4"/>
      <c r="C26" s="34"/>
      <c r="D26" s="6"/>
      <c r="E26" s="11"/>
      <c r="F26" s="4"/>
      <c r="G26" s="34"/>
      <c r="H26" s="6"/>
    </row>
    <row r="27" spans="2:22" x14ac:dyDescent="0.4">
      <c r="B27" s="4" t="s">
        <v>34</v>
      </c>
      <c r="C27" s="34"/>
      <c r="D27" s="6"/>
      <c r="E27" s="11"/>
      <c r="F27" s="4" t="s">
        <v>41</v>
      </c>
      <c r="G27" s="34"/>
      <c r="H27" s="6"/>
    </row>
    <row r="28" spans="2:22" x14ac:dyDescent="0.4">
      <c r="B28" s="4"/>
      <c r="C28" s="34"/>
      <c r="D28" s="6"/>
      <c r="E28" s="11"/>
      <c r="F28" s="4"/>
      <c r="G28" s="34"/>
      <c r="H28" s="6"/>
    </row>
    <row r="29" spans="2:22" x14ac:dyDescent="0.4">
      <c r="B29" s="4"/>
      <c r="C29" s="34"/>
      <c r="D29" s="6"/>
      <c r="E29" s="11"/>
      <c r="F29" s="4"/>
      <c r="G29" s="34"/>
      <c r="H29" s="6"/>
    </row>
    <row r="30" spans="2:22" x14ac:dyDescent="0.4">
      <c r="B30" s="4"/>
      <c r="C30" s="34"/>
      <c r="D30" s="6"/>
      <c r="E30" s="11"/>
      <c r="F30" s="4"/>
      <c r="G30" s="34"/>
      <c r="H30" s="6"/>
    </row>
    <row r="31" spans="2:22" x14ac:dyDescent="0.4">
      <c r="B31" s="4"/>
      <c r="C31" s="34"/>
      <c r="D31" s="6"/>
      <c r="E31" s="11"/>
      <c r="F31" s="4"/>
      <c r="G31" s="34"/>
      <c r="H31" s="6"/>
    </row>
    <row r="32" spans="2:22" x14ac:dyDescent="0.4">
      <c r="B32" s="4"/>
      <c r="C32" s="34" t="s">
        <v>17</v>
      </c>
      <c r="D32" s="6"/>
      <c r="E32" s="11"/>
      <c r="F32" s="4"/>
      <c r="G32" s="34" t="s">
        <v>39</v>
      </c>
      <c r="H32" s="6"/>
    </row>
    <row r="33" spans="2:8" x14ac:dyDescent="0.4">
      <c r="B33" s="4"/>
      <c r="C33" s="34"/>
      <c r="D33" s="6"/>
      <c r="E33" s="11"/>
      <c r="F33" s="4"/>
      <c r="G33" s="34"/>
      <c r="H33" s="6"/>
    </row>
    <row r="34" spans="2:8" x14ac:dyDescent="0.4">
      <c r="B34" s="4"/>
      <c r="C34" s="34"/>
      <c r="D34" s="6"/>
      <c r="E34" s="11"/>
      <c r="F34" s="4"/>
      <c r="G34" s="34"/>
      <c r="H34" s="6"/>
    </row>
    <row r="35" spans="2:8" x14ac:dyDescent="0.4">
      <c r="B35" s="4"/>
      <c r="C35" s="34"/>
      <c r="D35" s="6"/>
      <c r="E35" s="11"/>
      <c r="F35" s="4"/>
      <c r="G35" s="34"/>
      <c r="H35" s="6"/>
    </row>
    <row r="36" spans="2:8" x14ac:dyDescent="0.4">
      <c r="B36" s="4"/>
      <c r="C36" s="34" t="s">
        <v>6</v>
      </c>
      <c r="D36" s="6"/>
      <c r="E36" s="11"/>
      <c r="F36" s="4"/>
      <c r="G36" s="34" t="s">
        <v>16</v>
      </c>
      <c r="H36" s="6"/>
    </row>
    <row r="37" spans="2:8" x14ac:dyDescent="0.4">
      <c r="B37" s="4"/>
      <c r="C37" s="34"/>
      <c r="D37" s="6"/>
      <c r="E37" s="11"/>
      <c r="F37" s="4"/>
      <c r="G37" s="34"/>
      <c r="H37" s="6"/>
    </row>
    <row r="38" spans="2:8" x14ac:dyDescent="0.4">
      <c r="B38" s="4"/>
      <c r="C38" s="34"/>
      <c r="D38" s="6"/>
      <c r="E38" s="11"/>
      <c r="F38" s="4"/>
      <c r="G38" s="34"/>
      <c r="H38" s="6"/>
    </row>
    <row r="39" spans="2:8" x14ac:dyDescent="0.4">
      <c r="B39" s="4"/>
      <c r="C39" s="34"/>
      <c r="D39" s="6"/>
      <c r="E39" s="11"/>
      <c r="F39" s="4"/>
      <c r="G39" s="34"/>
      <c r="H39" s="6"/>
    </row>
    <row r="40" spans="2:8" x14ac:dyDescent="0.4">
      <c r="B40" s="4"/>
      <c r="C40" s="34"/>
      <c r="D40" s="6"/>
      <c r="E40" s="11"/>
      <c r="F40" s="4"/>
      <c r="G40" s="34"/>
      <c r="H40" s="6"/>
    </row>
    <row r="41" spans="2:8" x14ac:dyDescent="0.4">
      <c r="B41" s="4" t="s">
        <v>17</v>
      </c>
      <c r="C41" s="34"/>
      <c r="D41" s="6"/>
      <c r="E41" s="11"/>
      <c r="F41" s="4" t="s">
        <v>40</v>
      </c>
      <c r="G41" s="34"/>
      <c r="H41" s="6"/>
    </row>
    <row r="42" spans="2:8" x14ac:dyDescent="0.4">
      <c r="B42" s="4"/>
      <c r="C42" s="34"/>
      <c r="D42" s="6"/>
      <c r="E42" s="11"/>
      <c r="F42" s="4"/>
      <c r="G42" s="34"/>
      <c r="H42" s="6"/>
    </row>
    <row r="43" spans="2:8" x14ac:dyDescent="0.4">
      <c r="B43" s="4"/>
      <c r="C43" s="34"/>
      <c r="D43" s="6"/>
      <c r="E43" s="11"/>
      <c r="F43" s="4"/>
      <c r="G43" s="34"/>
      <c r="H43" s="6"/>
    </row>
    <row r="44" spans="2:8" x14ac:dyDescent="0.4">
      <c r="B44" s="4"/>
      <c r="C44" s="34"/>
      <c r="D44" s="6"/>
      <c r="E44" s="11"/>
      <c r="F44" s="4"/>
      <c r="G44" s="34"/>
      <c r="H44" s="6"/>
    </row>
    <row r="45" spans="2:8" x14ac:dyDescent="0.4">
      <c r="B45" s="4"/>
      <c r="C45" s="34"/>
      <c r="D45" s="6"/>
      <c r="E45" s="11"/>
      <c r="F45" s="4"/>
      <c r="G45" s="34"/>
      <c r="H45" s="6"/>
    </row>
    <row r="46" spans="2:8" x14ac:dyDescent="0.4">
      <c r="B46" s="9"/>
      <c r="C46" s="8"/>
      <c r="D46" s="10"/>
      <c r="E46" s="11"/>
      <c r="F46" s="9"/>
      <c r="G46" s="8"/>
      <c r="H46" s="10"/>
    </row>
    <row r="47" spans="2:8" x14ac:dyDescent="0.4">
      <c r="B47" s="4"/>
      <c r="C47" s="34"/>
      <c r="D47" s="6"/>
      <c r="E47" s="11"/>
      <c r="F47" s="4"/>
      <c r="G47" s="34"/>
      <c r="H47" s="6"/>
    </row>
    <row r="48" spans="2:8" x14ac:dyDescent="0.4">
      <c r="B48" s="4"/>
      <c r="C48" s="34"/>
      <c r="D48" s="6"/>
      <c r="E48" s="11"/>
      <c r="F48" s="4"/>
      <c r="G48" s="34"/>
      <c r="H48" s="6"/>
    </row>
    <row r="49" spans="2:8" x14ac:dyDescent="0.4">
      <c r="B49" s="4"/>
      <c r="C49" s="34"/>
      <c r="D49" s="6"/>
      <c r="E49" s="11"/>
      <c r="F49" s="4"/>
      <c r="G49" s="34"/>
      <c r="H49" s="6"/>
    </row>
    <row r="50" spans="2:8" x14ac:dyDescent="0.4">
      <c r="B50" s="4"/>
      <c r="C50" s="34"/>
      <c r="D50" s="6"/>
      <c r="E50" s="11"/>
      <c r="F50" s="4"/>
      <c r="G50" s="34"/>
      <c r="H50" s="6"/>
    </row>
    <row r="51" spans="2:8" x14ac:dyDescent="0.4">
      <c r="B51" s="4"/>
      <c r="C51" s="34"/>
      <c r="D51" s="6"/>
      <c r="E51" s="11"/>
      <c r="F51" s="4"/>
      <c r="G51" s="34"/>
      <c r="H51" s="6"/>
    </row>
    <row r="52" spans="2:8" x14ac:dyDescent="0.4">
      <c r="B52" s="4"/>
      <c r="C52" s="34"/>
      <c r="D52" s="6"/>
      <c r="E52" s="11"/>
      <c r="F52" s="4"/>
      <c r="G52" s="34"/>
      <c r="H52" s="6"/>
    </row>
    <row r="53" spans="2:8" x14ac:dyDescent="0.4">
      <c r="B53" s="4"/>
      <c r="C53" s="34"/>
      <c r="D53" s="6"/>
      <c r="E53" s="11"/>
      <c r="F53" s="4"/>
      <c r="G53" s="34"/>
      <c r="H53" s="6"/>
    </row>
    <row r="54" spans="2:8" x14ac:dyDescent="0.4">
      <c r="B54" s="4"/>
      <c r="C54" s="34"/>
      <c r="D54" s="6"/>
      <c r="E54" s="11"/>
      <c r="F54" s="4"/>
      <c r="G54" s="34"/>
      <c r="H54" s="6"/>
    </row>
    <row r="55" spans="2:8" x14ac:dyDescent="0.4">
      <c r="B55" s="4"/>
      <c r="C55" s="34"/>
      <c r="D55" s="6"/>
      <c r="E55" s="11"/>
      <c r="F55" s="4"/>
      <c r="G55" s="34"/>
      <c r="H55" s="6"/>
    </row>
    <row r="56" spans="2:8" x14ac:dyDescent="0.4">
      <c r="B56" s="4"/>
      <c r="C56" s="34"/>
      <c r="D56" s="6"/>
      <c r="E56" s="11"/>
      <c r="F56" s="4"/>
      <c r="G56" s="34"/>
      <c r="H56" s="6"/>
    </row>
    <row r="57" spans="2:8" x14ac:dyDescent="0.4">
      <c r="B57" s="4" t="s">
        <v>34</v>
      </c>
      <c r="C57" s="34" t="s">
        <v>34</v>
      </c>
      <c r="D57" s="6" t="s">
        <v>34</v>
      </c>
      <c r="E57" s="11"/>
      <c r="F57" s="4" t="s">
        <v>41</v>
      </c>
      <c r="G57" s="34" t="s">
        <v>41</v>
      </c>
      <c r="H57" s="6" t="s">
        <v>41</v>
      </c>
    </row>
    <row r="58" spans="2:8" x14ac:dyDescent="0.4">
      <c r="B58" s="4"/>
      <c r="C58" s="34"/>
      <c r="D58" s="6"/>
      <c r="E58" s="11"/>
      <c r="F58" s="4"/>
      <c r="G58" s="34"/>
      <c r="H58" s="6"/>
    </row>
    <row r="59" spans="2:8" x14ac:dyDescent="0.4">
      <c r="B59" s="4"/>
      <c r="C59" s="34"/>
      <c r="D59" s="6"/>
      <c r="E59" s="11"/>
      <c r="F59" s="4"/>
      <c r="G59" s="34"/>
      <c r="H59" s="6"/>
    </row>
    <row r="60" spans="2:8" x14ac:dyDescent="0.4">
      <c r="B60" s="4"/>
      <c r="C60" s="34"/>
      <c r="D60" s="6"/>
      <c r="E60" s="11"/>
      <c r="F60" s="4"/>
      <c r="G60" s="34"/>
      <c r="H60" s="6"/>
    </row>
    <row r="61" spans="2:8" x14ac:dyDescent="0.4">
      <c r="B61" s="4"/>
      <c r="C61" s="34"/>
      <c r="D61" s="6"/>
      <c r="E61" s="11"/>
      <c r="F61" s="4"/>
      <c r="G61" s="34"/>
      <c r="H61" s="6"/>
    </row>
    <row r="62" spans="2:8" x14ac:dyDescent="0.4">
      <c r="B62" s="4"/>
      <c r="C62" s="34"/>
      <c r="D62" s="6"/>
      <c r="E62" s="11"/>
      <c r="F62" s="4"/>
      <c r="G62" s="34"/>
      <c r="H62" s="6"/>
    </row>
    <row r="63" spans="2:8" x14ac:dyDescent="0.4">
      <c r="B63" s="4"/>
      <c r="C63" s="34"/>
      <c r="D63" s="6"/>
      <c r="E63" s="11"/>
      <c r="F63" s="4"/>
      <c r="G63" s="34"/>
      <c r="H63" s="6"/>
    </row>
    <row r="64" spans="2:8" x14ac:dyDescent="0.4">
      <c r="B64" s="4"/>
      <c r="C64" s="34"/>
      <c r="D64" s="6"/>
      <c r="E64" s="11"/>
      <c r="F64" s="4"/>
      <c r="G64" s="34"/>
      <c r="H64" s="6"/>
    </row>
    <row r="65" spans="2:8" x14ac:dyDescent="0.4">
      <c r="B65" s="4"/>
      <c r="C65" s="34"/>
      <c r="D65" s="6"/>
      <c r="E65" s="11"/>
      <c r="F65" s="4"/>
      <c r="G65" s="34"/>
      <c r="H65" s="6"/>
    </row>
    <row r="66" spans="2:8" x14ac:dyDescent="0.4">
      <c r="B66" s="4" t="s">
        <v>34</v>
      </c>
      <c r="C66" s="34" t="s">
        <v>34</v>
      </c>
      <c r="D66" s="6" t="s">
        <v>34</v>
      </c>
      <c r="E66" s="11"/>
      <c r="F66" s="4" t="s">
        <v>39</v>
      </c>
      <c r="G66" s="34" t="s">
        <v>39</v>
      </c>
      <c r="H66" s="6" t="s">
        <v>39</v>
      </c>
    </row>
    <row r="67" spans="2:8" x14ac:dyDescent="0.4">
      <c r="B67" s="4"/>
      <c r="C67" s="34"/>
      <c r="D67" s="6"/>
      <c r="E67" s="11"/>
      <c r="F67" s="4"/>
      <c r="G67" s="34"/>
      <c r="H67" s="6"/>
    </row>
    <row r="68" spans="2:8" x14ac:dyDescent="0.4">
      <c r="B68" s="4"/>
      <c r="C68" s="34"/>
      <c r="D68" s="6"/>
      <c r="E68" s="11"/>
      <c r="F68" s="4"/>
      <c r="G68" s="34"/>
      <c r="H68" s="6"/>
    </row>
    <row r="69" spans="2:8" x14ac:dyDescent="0.4">
      <c r="B69" s="4"/>
      <c r="C69" s="34"/>
      <c r="D69" s="6"/>
      <c r="E69" s="11"/>
      <c r="F69" s="4"/>
      <c r="G69" s="34"/>
      <c r="H69" s="6"/>
    </row>
    <row r="70" spans="2:8" x14ac:dyDescent="0.4">
      <c r="B70" s="4"/>
      <c r="C70" s="34"/>
      <c r="D70" s="6"/>
      <c r="E70" s="11"/>
      <c r="F70" s="4"/>
      <c r="G70" s="34"/>
      <c r="H70" s="6"/>
    </row>
    <row r="71" spans="2:8" x14ac:dyDescent="0.4">
      <c r="B71" s="4"/>
      <c r="C71" s="34"/>
      <c r="D71" s="6"/>
      <c r="E71" s="11"/>
      <c r="F71" s="4"/>
      <c r="G71" s="34"/>
      <c r="H71" s="6"/>
    </row>
    <row r="72" spans="2:8" x14ac:dyDescent="0.4">
      <c r="B72" s="4"/>
      <c r="C72" s="34"/>
      <c r="D72" s="6"/>
      <c r="E72" s="11"/>
      <c r="F72" s="4"/>
      <c r="G72" s="34"/>
      <c r="H72" s="6"/>
    </row>
    <row r="73" spans="2:8" x14ac:dyDescent="0.4">
      <c r="B73" s="4"/>
      <c r="C73" s="34"/>
      <c r="D73" s="6"/>
      <c r="E73" s="11"/>
      <c r="F73" s="4"/>
      <c r="G73" s="34"/>
      <c r="H73" s="6"/>
    </row>
    <row r="74" spans="2:8" x14ac:dyDescent="0.4">
      <c r="B74" s="4"/>
      <c r="C74" s="34"/>
      <c r="D74" s="6"/>
      <c r="E74" s="11"/>
      <c r="F74" s="4"/>
      <c r="G74" s="34"/>
      <c r="H74" s="6"/>
    </row>
    <row r="75" spans="2:8" x14ac:dyDescent="0.4">
      <c r="B75" s="4"/>
      <c r="C75" s="34"/>
      <c r="D75" s="6"/>
      <c r="E75" s="11"/>
      <c r="F75" s="4"/>
      <c r="G75" s="34"/>
      <c r="H75" s="6"/>
    </row>
    <row r="76" spans="2:8" x14ac:dyDescent="0.4">
      <c r="B76" s="4" t="s">
        <v>34</v>
      </c>
      <c r="C76" s="34" t="s">
        <v>34</v>
      </c>
      <c r="D76" s="6" t="s">
        <v>34</v>
      </c>
      <c r="E76" s="11"/>
      <c r="F76" s="4" t="s">
        <v>16</v>
      </c>
      <c r="G76" s="34" t="s">
        <v>16</v>
      </c>
      <c r="H76" s="6" t="s">
        <v>16</v>
      </c>
    </row>
    <row r="77" spans="2:8" x14ac:dyDescent="0.4">
      <c r="B77" s="4"/>
      <c r="C77" s="34"/>
      <c r="D77" s="6"/>
      <c r="E77" s="11"/>
      <c r="F77" s="4"/>
      <c r="G77" s="34"/>
      <c r="H77" s="6"/>
    </row>
    <row r="78" spans="2:8" x14ac:dyDescent="0.4">
      <c r="B78" s="4"/>
      <c r="C78" s="34"/>
      <c r="D78" s="6"/>
      <c r="E78" s="11"/>
      <c r="F78" s="4"/>
      <c r="G78" s="34"/>
      <c r="H78" s="6"/>
    </row>
    <row r="79" spans="2:8" x14ac:dyDescent="0.4">
      <c r="B79" s="4"/>
      <c r="C79" s="34"/>
      <c r="D79" s="6"/>
      <c r="E79" s="11"/>
      <c r="F79" s="4"/>
      <c r="G79" s="34"/>
      <c r="H79" s="6"/>
    </row>
    <row r="80" spans="2:8" x14ac:dyDescent="0.4">
      <c r="B80" s="4"/>
      <c r="C80" s="34"/>
      <c r="D80" s="6"/>
      <c r="E80" s="11"/>
      <c r="F80" s="4"/>
      <c r="G80" s="34"/>
      <c r="H80" s="6"/>
    </row>
    <row r="81" spans="2:8" x14ac:dyDescent="0.4">
      <c r="B81" s="4"/>
      <c r="C81" s="34"/>
      <c r="D81" s="6"/>
      <c r="E81" s="11"/>
      <c r="F81" s="4"/>
      <c r="G81" s="34"/>
      <c r="H81" s="6"/>
    </row>
    <row r="82" spans="2:8" x14ac:dyDescent="0.4">
      <c r="B82" s="4"/>
      <c r="C82" s="34"/>
      <c r="D82" s="6"/>
      <c r="E82" s="11"/>
      <c r="F82" s="4"/>
      <c r="G82" s="34"/>
      <c r="H82" s="6"/>
    </row>
    <row r="83" spans="2:8" x14ac:dyDescent="0.4">
      <c r="B83" s="4"/>
      <c r="C83" s="34"/>
      <c r="D83" s="6"/>
      <c r="E83" s="11"/>
      <c r="F83" s="4"/>
      <c r="G83" s="34"/>
      <c r="H83" s="6"/>
    </row>
    <row r="84" spans="2:8" x14ac:dyDescent="0.4">
      <c r="B84" s="4"/>
      <c r="C84" s="34"/>
      <c r="D84" s="6"/>
      <c r="E84" s="11"/>
      <c r="F84" s="4"/>
      <c r="G84" s="34"/>
      <c r="H84" s="6"/>
    </row>
    <row r="85" spans="2:8" x14ac:dyDescent="0.4">
      <c r="B85" s="4"/>
      <c r="C85" s="34"/>
      <c r="D85" s="6"/>
      <c r="E85" s="11"/>
      <c r="F85" s="4"/>
      <c r="G85" s="34"/>
      <c r="H85" s="6"/>
    </row>
    <row r="86" spans="2:8" x14ac:dyDescent="0.4">
      <c r="B86" s="4"/>
      <c r="C86" s="34"/>
      <c r="D86" s="6"/>
      <c r="E86" s="11"/>
      <c r="F86" s="4"/>
      <c r="G86" s="34"/>
      <c r="H86" s="6"/>
    </row>
    <row r="87" spans="2:8" x14ac:dyDescent="0.4">
      <c r="B87" s="4"/>
      <c r="C87" s="34"/>
      <c r="D87" s="6"/>
      <c r="E87" s="11"/>
      <c r="F87" s="4"/>
      <c r="G87" s="34"/>
      <c r="H87" s="6"/>
    </row>
    <row r="88" spans="2:8" x14ac:dyDescent="0.4">
      <c r="B88" s="4"/>
      <c r="C88" s="34"/>
      <c r="D88" s="6"/>
      <c r="E88" s="11"/>
      <c r="F88" s="4"/>
      <c r="G88" s="34"/>
      <c r="H88" s="6"/>
    </row>
    <row r="89" spans="2:8" x14ac:dyDescent="0.4">
      <c r="B89" s="13" t="s">
        <v>2</v>
      </c>
      <c r="C89" s="14" t="s">
        <v>2</v>
      </c>
      <c r="D89" s="15" t="s">
        <v>2</v>
      </c>
      <c r="E89" s="11"/>
      <c r="F89" s="13" t="s">
        <v>2</v>
      </c>
      <c r="G89" s="14" t="s">
        <v>2</v>
      </c>
      <c r="H89" s="15" t="s">
        <v>2</v>
      </c>
    </row>
    <row r="90" spans="2:8" x14ac:dyDescent="0.4">
      <c r="B90" s="33"/>
      <c r="C90" s="33"/>
      <c r="D90" s="33"/>
      <c r="E90" s="11"/>
      <c r="F90" s="33"/>
      <c r="G90" s="33"/>
      <c r="H90" s="33"/>
    </row>
    <row r="91" spans="2:8" x14ac:dyDescent="0.4">
      <c r="B91" s="33"/>
      <c r="C91" s="33"/>
      <c r="D91" s="33"/>
      <c r="E91" s="11"/>
      <c r="F91" s="33"/>
      <c r="G91" s="33"/>
      <c r="H91" s="33"/>
    </row>
    <row r="92" spans="2:8" x14ac:dyDescent="0.4">
      <c r="B92" s="7"/>
      <c r="C92" s="7"/>
      <c r="D92" s="7"/>
      <c r="F92" s="7"/>
      <c r="G92" s="7"/>
      <c r="H92" s="7"/>
    </row>
    <row r="93" spans="2:8" x14ac:dyDescent="0.4">
      <c r="B93" s="7"/>
      <c r="C93" s="7"/>
      <c r="D93" s="7"/>
      <c r="F93" s="7"/>
      <c r="G93" s="7"/>
      <c r="H93" s="7"/>
    </row>
    <row r="94" spans="2:8" x14ac:dyDescent="0.4">
      <c r="B94" s="7"/>
      <c r="C94" s="7"/>
      <c r="D94" s="7"/>
      <c r="F94" s="7"/>
      <c r="G94" s="7"/>
      <c r="H94" s="7"/>
    </row>
    <row r="95" spans="2:8" x14ac:dyDescent="0.4">
      <c r="B95" s="7"/>
      <c r="C95" s="7"/>
      <c r="D95" s="7"/>
      <c r="F95" s="7"/>
      <c r="G95" s="7"/>
      <c r="H95" s="7"/>
    </row>
    <row r="96" spans="2:8" x14ac:dyDescent="0.4">
      <c r="B96" s="7"/>
      <c r="C96" s="7"/>
      <c r="D96" s="7"/>
      <c r="F96" s="7"/>
      <c r="G96" s="7"/>
      <c r="H96" s="7"/>
    </row>
    <row r="97" spans="2:8" x14ac:dyDescent="0.4">
      <c r="B97" s="7"/>
      <c r="C97" s="7"/>
      <c r="D97" s="7"/>
      <c r="F97" s="7"/>
      <c r="G97" s="7"/>
      <c r="H97" s="7"/>
    </row>
    <row r="98" spans="2:8" x14ac:dyDescent="0.4">
      <c r="B98" s="7"/>
      <c r="C98" s="7"/>
      <c r="D98" s="7"/>
      <c r="F98" s="7"/>
      <c r="G98" s="7"/>
      <c r="H98" s="7"/>
    </row>
    <row r="99" spans="2:8" x14ac:dyDescent="0.4">
      <c r="B99" s="7"/>
      <c r="C99" s="7"/>
      <c r="D99" s="7"/>
      <c r="F99" s="7"/>
      <c r="G99" s="7"/>
      <c r="H99" s="7"/>
    </row>
    <row r="100" spans="2:8" x14ac:dyDescent="0.4">
      <c r="B100" s="7"/>
      <c r="C100" s="7"/>
      <c r="D100" s="7"/>
      <c r="F100" s="7"/>
      <c r="G100" s="7"/>
      <c r="H100" s="7"/>
    </row>
    <row r="101" spans="2:8" x14ac:dyDescent="0.4">
      <c r="B101" s="7"/>
      <c r="C101" s="7"/>
      <c r="D101" s="7"/>
      <c r="F101" s="7"/>
      <c r="G101" s="7"/>
      <c r="H101" s="7"/>
    </row>
    <row r="102" spans="2:8" x14ac:dyDescent="0.4">
      <c r="B102" s="7"/>
      <c r="C102" s="7"/>
      <c r="D102" s="7"/>
      <c r="F102" s="7"/>
      <c r="G102" s="7"/>
      <c r="H102" s="7"/>
    </row>
    <row r="103" spans="2:8" x14ac:dyDescent="0.4">
      <c r="B103" s="7"/>
      <c r="C103" s="7"/>
      <c r="D103" s="7"/>
      <c r="F103" s="7"/>
      <c r="G103" s="7"/>
      <c r="H103" s="7"/>
    </row>
    <row r="104" spans="2:8" x14ac:dyDescent="0.4">
      <c r="B104" s="7"/>
      <c r="C104" s="7"/>
      <c r="D104" s="7"/>
      <c r="F104" s="7"/>
      <c r="G104" s="7"/>
      <c r="H104" s="7"/>
    </row>
    <row r="105" spans="2:8" x14ac:dyDescent="0.4">
      <c r="B105" s="7"/>
      <c r="C105" s="7"/>
      <c r="D105" s="7"/>
      <c r="F105" s="7"/>
      <c r="G105" s="7"/>
      <c r="H105" s="7"/>
    </row>
    <row r="106" spans="2:8" x14ac:dyDescent="0.4">
      <c r="B106" s="7"/>
      <c r="C106" s="7"/>
      <c r="D106" s="7"/>
      <c r="F106" s="7"/>
      <c r="G106" s="7"/>
      <c r="H106" s="7"/>
    </row>
    <row r="107" spans="2:8" x14ac:dyDescent="0.4">
      <c r="B107" s="7"/>
      <c r="C107" s="7"/>
      <c r="D107" s="7"/>
      <c r="F107" s="7"/>
      <c r="G107" s="7"/>
      <c r="H107" s="7"/>
    </row>
    <row r="108" spans="2:8" x14ac:dyDescent="0.4">
      <c r="B108" s="7"/>
      <c r="C108" s="7"/>
      <c r="D108" s="7"/>
      <c r="F108" s="7"/>
      <c r="G108" s="7"/>
      <c r="H108" s="7"/>
    </row>
    <row r="109" spans="2:8" x14ac:dyDescent="0.4">
      <c r="B109" s="7"/>
      <c r="C109" s="7"/>
      <c r="D109" s="7"/>
      <c r="F109" s="7"/>
      <c r="G109" s="7"/>
      <c r="H109" s="7"/>
    </row>
    <row r="110" spans="2:8" x14ac:dyDescent="0.4">
      <c r="B110" s="7"/>
      <c r="C110" s="7"/>
      <c r="D110" s="7"/>
      <c r="F110" s="7"/>
      <c r="G110" s="7"/>
      <c r="H110" s="7"/>
    </row>
    <row r="111" spans="2:8" x14ac:dyDescent="0.4">
      <c r="B111" s="7"/>
      <c r="C111" s="7"/>
      <c r="D111" s="7"/>
      <c r="F111" s="7"/>
      <c r="G111" s="7"/>
      <c r="H111" s="7"/>
    </row>
    <row r="112" spans="2:8" x14ac:dyDescent="0.4">
      <c r="B112" s="7"/>
      <c r="C112" s="7"/>
      <c r="D112" s="7"/>
      <c r="F112" s="7"/>
      <c r="G112" s="7"/>
      <c r="H112" s="7"/>
    </row>
    <row r="113" spans="2:8" x14ac:dyDescent="0.4">
      <c r="B113" s="7"/>
      <c r="C113" s="7"/>
      <c r="D113" s="7"/>
      <c r="F113" s="7"/>
      <c r="G113" s="7"/>
      <c r="H113" s="7"/>
    </row>
    <row r="114" spans="2:8" x14ac:dyDescent="0.4">
      <c r="B114" s="7"/>
      <c r="C114" s="7"/>
      <c r="D114" s="7"/>
      <c r="F114" s="7"/>
      <c r="G114" s="7"/>
      <c r="H114" s="7"/>
    </row>
    <row r="115" spans="2:8" x14ac:dyDescent="0.4">
      <c r="B115" s="7"/>
      <c r="C115" s="7"/>
      <c r="D115" s="7"/>
      <c r="F115" s="7"/>
      <c r="G115" s="7"/>
      <c r="H115" s="7"/>
    </row>
    <row r="116" spans="2:8" x14ac:dyDescent="0.4">
      <c r="B116" s="7"/>
      <c r="C116" s="7"/>
      <c r="D116" s="7"/>
      <c r="F116" s="7"/>
      <c r="G116" s="7"/>
      <c r="H116" s="7"/>
    </row>
    <row r="117" spans="2:8" x14ac:dyDescent="0.4">
      <c r="B117" s="7"/>
      <c r="C117" s="7"/>
      <c r="D117" s="7"/>
      <c r="F117" s="7"/>
      <c r="G117" s="7"/>
      <c r="H117" s="7"/>
    </row>
    <row r="118" spans="2:8" x14ac:dyDescent="0.4">
      <c r="B118" s="7"/>
      <c r="C118" s="7"/>
      <c r="D118" s="7"/>
      <c r="F118" s="7"/>
      <c r="G118" s="7"/>
      <c r="H118" s="7"/>
    </row>
    <row r="119" spans="2:8" x14ac:dyDescent="0.4">
      <c r="B119" s="7"/>
      <c r="C119" s="7"/>
      <c r="D119" s="7"/>
      <c r="F119" s="7"/>
      <c r="G119" s="7"/>
      <c r="H119" s="7"/>
    </row>
    <row r="120" spans="2:8" x14ac:dyDescent="0.4">
      <c r="B120" s="7"/>
      <c r="C120" s="7"/>
      <c r="D120" s="7"/>
      <c r="F120" s="7"/>
      <c r="G120" s="7"/>
      <c r="H120" s="7"/>
    </row>
    <row r="121" spans="2:8" x14ac:dyDescent="0.4">
      <c r="B121" s="7"/>
      <c r="C121" s="7"/>
      <c r="D121" s="7"/>
      <c r="F121" s="7"/>
      <c r="G121" s="7"/>
      <c r="H121" s="7"/>
    </row>
    <row r="122" spans="2:8" x14ac:dyDescent="0.4">
      <c r="B122" s="7"/>
      <c r="C122" s="7"/>
      <c r="D122" s="7"/>
      <c r="F122" s="7"/>
      <c r="G122" s="7"/>
      <c r="H122" s="7"/>
    </row>
    <row r="123" spans="2:8" x14ac:dyDescent="0.4">
      <c r="B123" s="7"/>
      <c r="C123" s="7"/>
      <c r="D123" s="7"/>
      <c r="F123" s="7"/>
      <c r="G123" s="7"/>
      <c r="H123" s="7"/>
    </row>
    <row r="124" spans="2:8" x14ac:dyDescent="0.4">
      <c r="B124" s="7"/>
      <c r="C124" s="7"/>
      <c r="D124" s="7"/>
      <c r="F124" s="7"/>
      <c r="G124" s="7"/>
      <c r="H124" s="7"/>
    </row>
    <row r="125" spans="2:8" x14ac:dyDescent="0.4">
      <c r="B125" s="7"/>
      <c r="C125" s="7"/>
      <c r="D125" s="7"/>
      <c r="F125" s="7"/>
      <c r="G125" s="7"/>
      <c r="H125" s="7"/>
    </row>
    <row r="126" spans="2:8" x14ac:dyDescent="0.4">
      <c r="B126" s="7"/>
      <c r="C126" s="7"/>
      <c r="D126" s="7"/>
      <c r="F126" s="7"/>
      <c r="G126" s="7"/>
      <c r="H126" s="7"/>
    </row>
    <row r="127" spans="2:8" x14ac:dyDescent="0.4">
      <c r="B127" s="7"/>
      <c r="C127" s="7"/>
      <c r="D127" s="7"/>
      <c r="F127" s="7"/>
      <c r="G127" s="7"/>
      <c r="H127" s="7"/>
    </row>
    <row r="128" spans="2:8" x14ac:dyDescent="0.4">
      <c r="B128" s="7"/>
      <c r="C128" s="7"/>
      <c r="D128" s="7"/>
      <c r="F128" s="7"/>
      <c r="G128" s="7"/>
      <c r="H128" s="7"/>
    </row>
    <row r="129" spans="2:8" x14ac:dyDescent="0.4">
      <c r="B129" s="7"/>
      <c r="C129" s="7"/>
      <c r="D129" s="7"/>
      <c r="F129" s="7"/>
      <c r="G129" s="7"/>
      <c r="H129" s="7"/>
    </row>
    <row r="130" spans="2:8" x14ac:dyDescent="0.4">
      <c r="B130" s="7"/>
      <c r="C130" s="7"/>
      <c r="D130" s="7"/>
      <c r="F130" s="7"/>
      <c r="G130" s="7"/>
      <c r="H130" s="7"/>
    </row>
    <row r="131" spans="2:8" x14ac:dyDescent="0.4">
      <c r="B131" s="7"/>
      <c r="C131" s="7"/>
      <c r="D131" s="7"/>
      <c r="F131" s="7"/>
      <c r="G131" s="7"/>
      <c r="H131" s="7"/>
    </row>
    <row r="132" spans="2:8" x14ac:dyDescent="0.4">
      <c r="B132" s="7"/>
      <c r="C132" s="7"/>
      <c r="D132" s="7"/>
      <c r="F132" s="7"/>
      <c r="G132" s="7"/>
      <c r="H132" s="7"/>
    </row>
    <row r="133" spans="2:8" x14ac:dyDescent="0.4">
      <c r="B133" s="7"/>
      <c r="C133" s="7"/>
      <c r="D133" s="7"/>
      <c r="F133" s="7"/>
      <c r="G133" s="7"/>
      <c r="H133" s="7"/>
    </row>
    <row r="134" spans="2:8" x14ac:dyDescent="0.4">
      <c r="B134" s="7"/>
      <c r="C134" s="7"/>
      <c r="D134" s="7"/>
      <c r="F134" s="7"/>
      <c r="G134" s="7"/>
      <c r="H134" s="7"/>
    </row>
    <row r="135" spans="2:8" x14ac:dyDescent="0.4">
      <c r="B135" s="7"/>
      <c r="C135" s="7"/>
      <c r="D135" s="7"/>
      <c r="F135" s="7"/>
      <c r="G135" s="7"/>
      <c r="H135" s="7"/>
    </row>
    <row r="136" spans="2:8" x14ac:dyDescent="0.4">
      <c r="B136" s="7"/>
      <c r="C136" s="7"/>
      <c r="D136" s="7"/>
      <c r="F136" s="7"/>
      <c r="G136" s="7"/>
      <c r="H136" s="7"/>
    </row>
    <row r="137" spans="2:8" x14ac:dyDescent="0.4">
      <c r="B137" s="7"/>
      <c r="C137" s="7"/>
      <c r="D137" s="7"/>
      <c r="F137" s="7"/>
      <c r="G137" s="7"/>
      <c r="H137" s="7"/>
    </row>
    <row r="138" spans="2:8" x14ac:dyDescent="0.4">
      <c r="B138" s="7"/>
      <c r="C138" s="7"/>
      <c r="D138" s="7"/>
      <c r="F138" s="7"/>
      <c r="G138" s="7"/>
      <c r="H138" s="7"/>
    </row>
    <row r="139" spans="2:8" x14ac:dyDescent="0.4">
      <c r="B139" s="7"/>
      <c r="C139" s="7"/>
      <c r="D139" s="7"/>
      <c r="F139" s="7"/>
      <c r="G139" s="7"/>
      <c r="H139" s="7"/>
    </row>
    <row r="140" spans="2:8" x14ac:dyDescent="0.4">
      <c r="B140" s="7"/>
      <c r="C140" s="7"/>
      <c r="D140" s="7"/>
      <c r="F140" s="7"/>
      <c r="G140" s="7"/>
      <c r="H140" s="7"/>
    </row>
    <row r="141" spans="2:8" x14ac:dyDescent="0.4">
      <c r="B141" s="7"/>
      <c r="C141" s="7"/>
      <c r="D141" s="7"/>
      <c r="F141" s="7"/>
      <c r="G141" s="7"/>
      <c r="H141" s="7"/>
    </row>
    <row r="142" spans="2:8" x14ac:dyDescent="0.4">
      <c r="B142" s="7"/>
      <c r="C142" s="7"/>
      <c r="D142" s="7"/>
      <c r="F142" s="7"/>
      <c r="G142" s="7"/>
      <c r="H142" s="7"/>
    </row>
    <row r="143" spans="2:8" x14ac:dyDescent="0.4">
      <c r="B143" s="7"/>
      <c r="C143" s="7"/>
      <c r="D143" s="7"/>
      <c r="F143" s="7"/>
      <c r="G143" s="7"/>
      <c r="H143" s="7"/>
    </row>
    <row r="144" spans="2:8" x14ac:dyDescent="0.4">
      <c r="B144" s="7"/>
      <c r="C144" s="7"/>
      <c r="D144" s="7"/>
      <c r="F144" s="7"/>
      <c r="G144" s="7"/>
      <c r="H144" s="7"/>
    </row>
    <row r="145" spans="2:8" x14ac:dyDescent="0.4">
      <c r="B145" s="7"/>
      <c r="C145" s="7"/>
      <c r="D145" s="7"/>
      <c r="F145" s="7"/>
      <c r="G145" s="7"/>
      <c r="H145" s="7"/>
    </row>
    <row r="146" spans="2:8" x14ac:dyDescent="0.4">
      <c r="B146" s="7"/>
      <c r="C146" s="7"/>
      <c r="D146" s="7"/>
      <c r="F146" s="7"/>
      <c r="G146" s="7"/>
      <c r="H146" s="7"/>
    </row>
    <row r="147" spans="2:8" x14ac:dyDescent="0.4">
      <c r="B147" s="7"/>
      <c r="C147" s="7"/>
      <c r="D147" s="7"/>
      <c r="F147" s="7"/>
      <c r="G147" s="7"/>
      <c r="H147" s="7"/>
    </row>
    <row r="148" spans="2:8" x14ac:dyDescent="0.4">
      <c r="B148" s="7"/>
      <c r="C148" s="7"/>
      <c r="D148" s="7"/>
      <c r="F148" s="7"/>
      <c r="G148" s="7"/>
      <c r="H148" s="7"/>
    </row>
    <row r="149" spans="2:8" x14ac:dyDescent="0.4">
      <c r="B149" s="7"/>
      <c r="C149" s="7"/>
      <c r="D149" s="7"/>
      <c r="F149" s="7"/>
      <c r="G149" s="7"/>
      <c r="H149" s="7"/>
    </row>
    <row r="150" spans="2:8" x14ac:dyDescent="0.4">
      <c r="B150" s="7"/>
      <c r="C150" s="7"/>
      <c r="D150" s="7"/>
      <c r="F150" s="7"/>
      <c r="G150" s="7"/>
      <c r="H150" s="7"/>
    </row>
    <row r="151" spans="2:8" x14ac:dyDescent="0.4">
      <c r="B151" s="7"/>
      <c r="C151" s="7"/>
      <c r="D151" s="7"/>
      <c r="F151" s="7"/>
      <c r="G151" s="7"/>
      <c r="H151" s="7"/>
    </row>
    <row r="152" spans="2:8" x14ac:dyDescent="0.4">
      <c r="B152" s="7"/>
      <c r="C152" s="7"/>
      <c r="D152" s="7"/>
      <c r="F152" s="7"/>
      <c r="G152" s="7"/>
      <c r="H152" s="7"/>
    </row>
    <row r="153" spans="2:8" x14ac:dyDescent="0.4">
      <c r="B153" s="7"/>
      <c r="C153" s="7"/>
      <c r="D153" s="7"/>
      <c r="F153" s="7"/>
      <c r="G153" s="7"/>
      <c r="H153" s="7"/>
    </row>
    <row r="154" spans="2:8" x14ac:dyDescent="0.4">
      <c r="B154" s="7"/>
      <c r="C154" s="7"/>
      <c r="D154" s="7"/>
      <c r="F154" s="7"/>
      <c r="G154" s="7"/>
      <c r="H154" s="7"/>
    </row>
    <row r="155" spans="2:8" x14ac:dyDescent="0.4">
      <c r="B155" s="7"/>
      <c r="C155" s="7"/>
      <c r="D155" s="7"/>
      <c r="F155" s="7"/>
      <c r="G155" s="7"/>
      <c r="H155" s="7"/>
    </row>
    <row r="156" spans="2:8" x14ac:dyDescent="0.4">
      <c r="B156" s="7"/>
      <c r="C156" s="7"/>
      <c r="D156" s="7"/>
      <c r="F156" s="7"/>
      <c r="G156" s="7"/>
      <c r="H156" s="7"/>
    </row>
    <row r="157" spans="2:8" x14ac:dyDescent="0.4">
      <c r="B157" s="7"/>
      <c r="C157" s="7"/>
      <c r="D157" s="7"/>
      <c r="F157" s="7"/>
      <c r="G157" s="7"/>
      <c r="H157" s="7"/>
    </row>
    <row r="158" spans="2:8" x14ac:dyDescent="0.4">
      <c r="B158" s="7"/>
      <c r="C158" s="7"/>
      <c r="D158" s="7"/>
      <c r="F158" s="7"/>
      <c r="G158" s="7"/>
      <c r="H158" s="7"/>
    </row>
    <row r="159" spans="2:8" x14ac:dyDescent="0.4">
      <c r="B159" s="7"/>
      <c r="C159" s="7"/>
      <c r="D159" s="7"/>
      <c r="F159" s="7"/>
      <c r="G159" s="7"/>
      <c r="H159" s="7"/>
    </row>
    <row r="160" spans="2:8" x14ac:dyDescent="0.4">
      <c r="B160" s="7"/>
      <c r="C160" s="7"/>
      <c r="D160" s="7"/>
      <c r="F160" s="7"/>
      <c r="G160" s="7"/>
      <c r="H160" s="7"/>
    </row>
    <row r="161" spans="2:8" x14ac:dyDescent="0.4">
      <c r="B161" s="7"/>
      <c r="C161" s="7"/>
      <c r="D161" s="7"/>
      <c r="F161" s="7"/>
      <c r="G161" s="7"/>
      <c r="H161" s="7"/>
    </row>
    <row r="162" spans="2:8" x14ac:dyDescent="0.4">
      <c r="B162" s="7"/>
      <c r="C162" s="7"/>
      <c r="D162" s="7"/>
      <c r="F162" s="7"/>
      <c r="G162" s="7"/>
      <c r="H162" s="7"/>
    </row>
    <row r="163" spans="2:8" x14ac:dyDescent="0.4">
      <c r="B163" s="7"/>
      <c r="C163" s="7"/>
      <c r="D163" s="7"/>
      <c r="F163" s="7"/>
      <c r="G163" s="7"/>
      <c r="H163" s="7"/>
    </row>
    <row r="164" spans="2:8" x14ac:dyDescent="0.4">
      <c r="B164" s="7"/>
      <c r="C164" s="7"/>
      <c r="D164" s="7"/>
      <c r="F164" s="7"/>
      <c r="G164" s="7"/>
      <c r="H164" s="7"/>
    </row>
    <row r="165" spans="2:8" x14ac:dyDescent="0.4">
      <c r="B165" s="7"/>
      <c r="C165" s="7"/>
      <c r="D165" s="7"/>
      <c r="F165" s="7"/>
      <c r="G165" s="7"/>
      <c r="H165" s="7"/>
    </row>
    <row r="166" spans="2:8" x14ac:dyDescent="0.4">
      <c r="B166" s="7"/>
      <c r="C166" s="7"/>
      <c r="D166" s="7"/>
      <c r="F166" s="7"/>
      <c r="G166" s="7"/>
      <c r="H166" s="7"/>
    </row>
    <row r="167" spans="2:8" x14ac:dyDescent="0.4">
      <c r="B167" s="7"/>
      <c r="C167" s="7"/>
      <c r="D167" s="7"/>
      <c r="F167" s="7"/>
      <c r="G167" s="7"/>
      <c r="H167" s="7"/>
    </row>
    <row r="168" spans="2:8" x14ac:dyDescent="0.4">
      <c r="B168" s="7"/>
      <c r="C168" s="7"/>
      <c r="D168" s="7"/>
      <c r="F168" s="7"/>
      <c r="G168" s="7"/>
      <c r="H168" s="7"/>
    </row>
    <row r="169" spans="2:8" x14ac:dyDescent="0.4">
      <c r="B169" s="7"/>
      <c r="C169" s="7"/>
      <c r="D169" s="7"/>
      <c r="F169" s="7"/>
      <c r="G169" s="7"/>
      <c r="H169" s="7"/>
    </row>
    <row r="170" spans="2:8" x14ac:dyDescent="0.4">
      <c r="B170" s="7"/>
      <c r="C170" s="7"/>
      <c r="D170" s="7"/>
      <c r="F170" s="7"/>
      <c r="G170" s="7"/>
      <c r="H170" s="7"/>
    </row>
    <row r="171" spans="2:8" x14ac:dyDescent="0.4">
      <c r="B171" s="7"/>
      <c r="C171" s="7"/>
      <c r="D171" s="7"/>
      <c r="F171" s="7"/>
      <c r="G171" s="7"/>
      <c r="H171" s="7"/>
    </row>
    <row r="172" spans="2:8" x14ac:dyDescent="0.4">
      <c r="B172" s="7"/>
      <c r="C172" s="7"/>
      <c r="D172" s="7"/>
      <c r="F172" s="7"/>
      <c r="G172" s="7"/>
      <c r="H172" s="7"/>
    </row>
    <row r="173" spans="2:8" x14ac:dyDescent="0.4">
      <c r="B173" s="7"/>
      <c r="C173" s="7"/>
      <c r="D173" s="7"/>
      <c r="F173" s="7"/>
      <c r="G173" s="7"/>
      <c r="H173" s="7"/>
    </row>
    <row r="174" spans="2:8" x14ac:dyDescent="0.4">
      <c r="B174" s="7"/>
      <c r="C174" s="7"/>
      <c r="D174" s="7"/>
      <c r="F174" s="7"/>
      <c r="G174" s="7"/>
      <c r="H174" s="7"/>
    </row>
    <row r="175" spans="2:8" x14ac:dyDescent="0.4">
      <c r="B175" s="7"/>
      <c r="C175" s="7"/>
      <c r="D175" s="7"/>
      <c r="F175" s="7"/>
      <c r="G175" s="7"/>
      <c r="H175" s="7"/>
    </row>
    <row r="176" spans="2:8" x14ac:dyDescent="0.4">
      <c r="B176" s="7"/>
      <c r="C176" s="7"/>
      <c r="D176" s="7"/>
      <c r="F176" s="7"/>
      <c r="G176" s="7"/>
      <c r="H176" s="7"/>
    </row>
    <row r="177" spans="2:8" x14ac:dyDescent="0.4">
      <c r="B177" s="7"/>
      <c r="C177" s="7"/>
      <c r="D177" s="7"/>
      <c r="F177" s="7"/>
      <c r="G177" s="7"/>
      <c r="H177" s="7"/>
    </row>
    <row r="178" spans="2:8" x14ac:dyDescent="0.4">
      <c r="B178" s="7"/>
      <c r="C178" s="7"/>
      <c r="D178" s="7"/>
      <c r="F178" s="7"/>
      <c r="G178" s="7"/>
      <c r="H178" s="7"/>
    </row>
    <row r="179" spans="2:8" x14ac:dyDescent="0.4">
      <c r="B179" s="7"/>
      <c r="C179" s="7"/>
      <c r="D179" s="7"/>
      <c r="F179" s="7"/>
      <c r="G179" s="7"/>
      <c r="H179" s="7"/>
    </row>
    <row r="180" spans="2:8" x14ac:dyDescent="0.4">
      <c r="B180" s="7"/>
      <c r="C180" s="7"/>
      <c r="D180" s="7"/>
      <c r="F180" s="7"/>
      <c r="G180" s="7"/>
      <c r="H180" s="7"/>
    </row>
    <row r="181" spans="2:8" x14ac:dyDescent="0.4">
      <c r="B181" s="7"/>
      <c r="C181" s="7"/>
      <c r="D181" s="7"/>
      <c r="F181" s="7"/>
      <c r="G181" s="7"/>
      <c r="H181" s="7"/>
    </row>
    <row r="182" spans="2:8" x14ac:dyDescent="0.4">
      <c r="B182" s="7"/>
      <c r="C182" s="7"/>
      <c r="D182" s="7"/>
      <c r="F182" s="7"/>
      <c r="G182" s="7"/>
      <c r="H182" s="7"/>
    </row>
    <row r="183" spans="2:8" x14ac:dyDescent="0.4">
      <c r="B183" s="7"/>
      <c r="C183" s="7"/>
      <c r="D183" s="7"/>
      <c r="F183" s="7"/>
      <c r="G183" s="7"/>
      <c r="H183" s="7"/>
    </row>
    <row r="184" spans="2:8" x14ac:dyDescent="0.4">
      <c r="B184" s="7"/>
      <c r="C184" s="7"/>
      <c r="D184" s="7"/>
      <c r="F184" s="7"/>
      <c r="G184" s="7"/>
      <c r="H184" s="7"/>
    </row>
    <row r="185" spans="2:8" x14ac:dyDescent="0.4">
      <c r="B185" s="7"/>
      <c r="C185" s="7"/>
      <c r="D185" s="7"/>
      <c r="F185" s="7"/>
      <c r="G185" s="7"/>
      <c r="H185" s="7"/>
    </row>
    <row r="186" spans="2:8" x14ac:dyDescent="0.4">
      <c r="B186" s="7"/>
      <c r="C186" s="7"/>
      <c r="D186" s="7"/>
      <c r="F186" s="7"/>
      <c r="G186" s="7"/>
      <c r="H186" s="7"/>
    </row>
    <row r="187" spans="2:8" x14ac:dyDescent="0.4">
      <c r="B187" s="7"/>
      <c r="C187" s="7"/>
      <c r="D187" s="7"/>
      <c r="F187" s="7"/>
      <c r="G187" s="7"/>
      <c r="H187" s="7"/>
    </row>
    <row r="188" spans="2:8" x14ac:dyDescent="0.4">
      <c r="B188" s="7"/>
      <c r="C188" s="7"/>
      <c r="D188" s="7"/>
      <c r="F188" s="7"/>
      <c r="G188" s="7"/>
      <c r="H188" s="7"/>
    </row>
    <row r="189" spans="2:8" x14ac:dyDescent="0.4">
      <c r="B189" s="7"/>
      <c r="C189" s="7"/>
      <c r="D189" s="7"/>
      <c r="F189" s="7"/>
      <c r="G189" s="7"/>
      <c r="H189" s="7"/>
    </row>
    <row r="190" spans="2:8" x14ac:dyDescent="0.4">
      <c r="B190" s="7"/>
      <c r="C190" s="7"/>
      <c r="D190" s="7"/>
      <c r="F190" s="7"/>
      <c r="G190" s="7"/>
      <c r="H190" s="7"/>
    </row>
    <row r="191" spans="2:8" x14ac:dyDescent="0.4">
      <c r="B191" s="7"/>
      <c r="C191" s="7"/>
      <c r="D191" s="7"/>
      <c r="F191" s="7"/>
      <c r="G191" s="7"/>
      <c r="H191" s="7"/>
    </row>
    <row r="192" spans="2:8" x14ac:dyDescent="0.4">
      <c r="B192" s="7"/>
      <c r="C192" s="7"/>
      <c r="D192" s="7"/>
      <c r="F192" s="7"/>
      <c r="G192" s="7"/>
      <c r="H192" s="7"/>
    </row>
    <row r="193" spans="2:8" x14ac:dyDescent="0.4">
      <c r="B193" s="7"/>
      <c r="C193" s="7"/>
      <c r="D193" s="7"/>
      <c r="F193" s="7"/>
      <c r="G193" s="7"/>
      <c r="H193" s="7"/>
    </row>
    <row r="194" spans="2:8" x14ac:dyDescent="0.4">
      <c r="B194" s="7"/>
      <c r="C194" s="7"/>
      <c r="D194" s="7"/>
      <c r="F194" s="7"/>
      <c r="G194" s="7"/>
      <c r="H194" s="7"/>
    </row>
    <row r="195" spans="2:8" x14ac:dyDescent="0.4">
      <c r="B195" s="7"/>
      <c r="C195" s="7"/>
      <c r="D195" s="7"/>
      <c r="F195" s="7"/>
      <c r="G195" s="7"/>
      <c r="H195" s="7"/>
    </row>
    <row r="196" spans="2:8" x14ac:dyDescent="0.4">
      <c r="B196" s="7"/>
      <c r="C196" s="7"/>
      <c r="D196" s="7"/>
      <c r="F196" s="7"/>
      <c r="G196" s="7"/>
      <c r="H196" s="7"/>
    </row>
    <row r="197" spans="2:8" x14ac:dyDescent="0.4">
      <c r="B197" s="7"/>
      <c r="C197" s="7"/>
      <c r="D197" s="7"/>
      <c r="F197" s="7"/>
      <c r="G197" s="7"/>
      <c r="H197" s="7"/>
    </row>
    <row r="198" spans="2:8" x14ac:dyDescent="0.4">
      <c r="B198" s="7"/>
      <c r="C198" s="7"/>
      <c r="D198" s="7"/>
      <c r="F198" s="7"/>
      <c r="G198" s="7"/>
      <c r="H198" s="7"/>
    </row>
    <row r="199" spans="2:8" x14ac:dyDescent="0.4">
      <c r="B199" s="7"/>
      <c r="C199" s="7"/>
      <c r="D199" s="7"/>
      <c r="F199" s="7"/>
      <c r="G199" s="7"/>
      <c r="H199" s="7"/>
    </row>
    <row r="200" spans="2:8" x14ac:dyDescent="0.4">
      <c r="B200" s="7"/>
      <c r="C200" s="7"/>
      <c r="D200" s="7"/>
      <c r="F200" s="7"/>
      <c r="G200" s="7"/>
      <c r="H200" s="7"/>
    </row>
    <row r="201" spans="2:8" x14ac:dyDescent="0.4">
      <c r="B201" s="7"/>
      <c r="C201" s="7"/>
      <c r="D201" s="7"/>
      <c r="F201" s="7"/>
      <c r="G201" s="7"/>
      <c r="H201" s="7"/>
    </row>
    <row r="202" spans="2:8" x14ac:dyDescent="0.4">
      <c r="B202" s="7"/>
      <c r="C202" s="7"/>
      <c r="D202" s="7"/>
      <c r="F202" s="7"/>
      <c r="G202" s="7"/>
      <c r="H202" s="7"/>
    </row>
    <row r="203" spans="2:8" x14ac:dyDescent="0.4">
      <c r="B203" s="7"/>
      <c r="C203" s="7"/>
      <c r="D203" s="7"/>
      <c r="F203" s="7"/>
      <c r="G203" s="7"/>
      <c r="H203" s="7"/>
    </row>
    <row r="204" spans="2:8" x14ac:dyDescent="0.4">
      <c r="B204" s="7"/>
      <c r="C204" s="7"/>
      <c r="D204" s="7"/>
      <c r="F204" s="7"/>
      <c r="G204" s="7"/>
      <c r="H204" s="7"/>
    </row>
    <row r="205" spans="2:8" x14ac:dyDescent="0.4">
      <c r="B205" s="7"/>
      <c r="C205" s="7"/>
      <c r="D205" s="7"/>
      <c r="F205" s="7"/>
      <c r="G205" s="7"/>
      <c r="H205" s="7"/>
    </row>
    <row r="206" spans="2:8" x14ac:dyDescent="0.4">
      <c r="B206" s="7"/>
      <c r="C206" s="7"/>
      <c r="D206" s="7"/>
      <c r="F206" s="7"/>
      <c r="G206" s="7"/>
      <c r="H206" s="7"/>
    </row>
    <row r="207" spans="2:8" x14ac:dyDescent="0.4">
      <c r="B207" s="7"/>
      <c r="C207" s="7"/>
      <c r="D207" s="7"/>
      <c r="F207" s="7"/>
      <c r="G207" s="7"/>
      <c r="H207" s="7"/>
    </row>
    <row r="208" spans="2:8" x14ac:dyDescent="0.4">
      <c r="B208" s="7"/>
      <c r="C208" s="7"/>
      <c r="D208" s="7"/>
      <c r="F208" s="7"/>
      <c r="G208" s="7"/>
      <c r="H208" s="7"/>
    </row>
    <row r="209" spans="2:8" x14ac:dyDescent="0.4">
      <c r="B209" s="7"/>
      <c r="C209" s="7"/>
      <c r="D209" s="7"/>
      <c r="F209" s="7"/>
      <c r="G209" s="7"/>
      <c r="H209" s="7"/>
    </row>
    <row r="210" spans="2:8" x14ac:dyDescent="0.4">
      <c r="B210" s="7"/>
      <c r="C210" s="7"/>
      <c r="D210" s="7"/>
      <c r="F210" s="7"/>
      <c r="G210" s="7"/>
      <c r="H210" s="7"/>
    </row>
    <row r="211" spans="2:8" x14ac:dyDescent="0.4">
      <c r="B211" s="7"/>
      <c r="C211" s="7"/>
      <c r="D211" s="7"/>
      <c r="F211" s="7"/>
      <c r="G211" s="7"/>
      <c r="H211" s="7"/>
    </row>
    <row r="212" spans="2:8" x14ac:dyDescent="0.4">
      <c r="B212" s="7"/>
      <c r="C212" s="7"/>
      <c r="D212" s="7"/>
      <c r="F212" s="7"/>
      <c r="G212" s="7"/>
      <c r="H212" s="7"/>
    </row>
    <row r="213" spans="2:8" x14ac:dyDescent="0.4">
      <c r="B213" s="7"/>
      <c r="C213" s="7"/>
      <c r="D213" s="7"/>
      <c r="F213" s="7"/>
      <c r="G213" s="7"/>
      <c r="H213" s="7"/>
    </row>
    <row r="214" spans="2:8" x14ac:dyDescent="0.4">
      <c r="B214" s="7"/>
      <c r="C214" s="7"/>
      <c r="D214" s="7"/>
      <c r="F214" s="7"/>
      <c r="G214" s="7"/>
      <c r="H214" s="7"/>
    </row>
    <row r="215" spans="2:8" x14ac:dyDescent="0.4">
      <c r="B215" s="7"/>
      <c r="C215" s="7"/>
      <c r="D215" s="7"/>
      <c r="F215" s="7"/>
      <c r="G215" s="7"/>
      <c r="H215" s="7"/>
    </row>
    <row r="216" spans="2:8" x14ac:dyDescent="0.4">
      <c r="B216" s="7"/>
      <c r="C216" s="7"/>
      <c r="D216" s="7"/>
      <c r="F216" s="7"/>
      <c r="G216" s="7"/>
      <c r="H216" s="7"/>
    </row>
    <row r="217" spans="2:8" x14ac:dyDescent="0.4">
      <c r="B217" s="7"/>
      <c r="C217" s="7"/>
      <c r="D217" s="7"/>
      <c r="F217" s="7"/>
      <c r="G217" s="7"/>
      <c r="H217" s="7"/>
    </row>
    <row r="218" spans="2:8" x14ac:dyDescent="0.4">
      <c r="B218" s="7"/>
      <c r="C218" s="7"/>
      <c r="D218" s="7"/>
      <c r="F218" s="7"/>
      <c r="G218" s="7"/>
      <c r="H218" s="7"/>
    </row>
    <row r="219" spans="2:8" x14ac:dyDescent="0.4">
      <c r="B219" s="7"/>
      <c r="C219" s="7"/>
      <c r="D219" s="7"/>
      <c r="F219" s="7"/>
      <c r="G219" s="7"/>
      <c r="H219" s="7"/>
    </row>
    <row r="220" spans="2:8" x14ac:dyDescent="0.4">
      <c r="B220" s="7"/>
      <c r="C220" s="7"/>
      <c r="D220" s="7"/>
      <c r="F220" s="7"/>
      <c r="G220" s="7"/>
      <c r="H220" s="7"/>
    </row>
    <row r="221" spans="2:8" x14ac:dyDescent="0.4">
      <c r="B221" s="7"/>
      <c r="C221" s="7"/>
      <c r="D221" s="7"/>
      <c r="F221" s="7"/>
      <c r="G221" s="7"/>
      <c r="H221" s="7"/>
    </row>
    <row r="222" spans="2:8" x14ac:dyDescent="0.4">
      <c r="B222" s="7"/>
      <c r="C222" s="7"/>
      <c r="D222" s="7"/>
      <c r="F222" s="7"/>
      <c r="G222" s="7"/>
      <c r="H222" s="7"/>
    </row>
    <row r="223" spans="2:8" x14ac:dyDescent="0.4">
      <c r="B223" s="7"/>
      <c r="C223" s="7"/>
      <c r="D223" s="7"/>
      <c r="F223" s="7"/>
      <c r="G223" s="7"/>
      <c r="H223" s="7"/>
    </row>
    <row r="224" spans="2:8" x14ac:dyDescent="0.4">
      <c r="B224" s="7"/>
      <c r="C224" s="7"/>
      <c r="D224" s="7"/>
      <c r="F224" s="7"/>
      <c r="G224" s="7"/>
      <c r="H224" s="7"/>
    </row>
    <row r="225" spans="2:8" x14ac:dyDescent="0.4">
      <c r="B225" s="7"/>
      <c r="C225" s="7"/>
      <c r="D225" s="7"/>
      <c r="F225" s="7"/>
      <c r="G225" s="7"/>
      <c r="H225" s="7"/>
    </row>
    <row r="226" spans="2:8" x14ac:dyDescent="0.4">
      <c r="B226" s="7"/>
      <c r="C226" s="7"/>
      <c r="D226" s="7"/>
      <c r="F226" s="7"/>
      <c r="G226" s="7"/>
      <c r="H226" s="7"/>
    </row>
    <row r="227" spans="2:8" x14ac:dyDescent="0.4">
      <c r="B227" s="7"/>
      <c r="C227" s="7"/>
      <c r="D227" s="7"/>
      <c r="F227" s="7"/>
      <c r="G227" s="7"/>
      <c r="H227" s="7"/>
    </row>
    <row r="228" spans="2:8" x14ac:dyDescent="0.4">
      <c r="B228" s="7"/>
      <c r="C228" s="7"/>
      <c r="D228" s="7"/>
      <c r="F228" s="7"/>
      <c r="G228" s="7"/>
      <c r="H228" s="7"/>
    </row>
    <row r="229" spans="2:8" x14ac:dyDescent="0.4">
      <c r="B229" s="7"/>
      <c r="C229" s="7"/>
      <c r="D229" s="7"/>
      <c r="F229" s="7"/>
      <c r="G229" s="7"/>
      <c r="H229" s="7"/>
    </row>
    <row r="230" spans="2:8" x14ac:dyDescent="0.4">
      <c r="B230" s="7"/>
      <c r="C230" s="7"/>
      <c r="D230" s="7"/>
      <c r="F230" s="7"/>
      <c r="G230" s="7"/>
      <c r="H230" s="7"/>
    </row>
    <row r="231" spans="2:8" x14ac:dyDescent="0.4">
      <c r="B231" s="7"/>
      <c r="C231" s="7"/>
      <c r="D231" s="7"/>
      <c r="F231" s="7"/>
      <c r="G231" s="7"/>
      <c r="H231" s="7"/>
    </row>
    <row r="232" spans="2:8" x14ac:dyDescent="0.4">
      <c r="B232" s="7"/>
      <c r="C232" s="7"/>
      <c r="D232" s="7"/>
      <c r="F232" s="7"/>
      <c r="G232" s="7"/>
      <c r="H232" s="7"/>
    </row>
    <row r="233" spans="2:8" x14ac:dyDescent="0.4">
      <c r="B233" s="7"/>
      <c r="C233" s="7"/>
      <c r="D233" s="7"/>
      <c r="F233" s="7"/>
      <c r="G233" s="7"/>
      <c r="H233" s="7"/>
    </row>
    <row r="234" spans="2:8" x14ac:dyDescent="0.4">
      <c r="B234" s="7"/>
      <c r="C234" s="7"/>
      <c r="D234" s="7"/>
      <c r="F234" s="7"/>
      <c r="G234" s="7"/>
      <c r="H234" s="7"/>
    </row>
    <row r="235" spans="2:8" x14ac:dyDescent="0.4">
      <c r="B235" s="7"/>
      <c r="C235" s="7"/>
      <c r="D235" s="7"/>
      <c r="F235" s="7"/>
      <c r="G235" s="7"/>
      <c r="H235" s="7"/>
    </row>
    <row r="236" spans="2:8" x14ac:dyDescent="0.4">
      <c r="B236" s="7"/>
      <c r="C236" s="7"/>
      <c r="D236" s="7"/>
      <c r="F236" s="7"/>
      <c r="G236" s="7"/>
      <c r="H236" s="7"/>
    </row>
    <row r="237" spans="2:8" x14ac:dyDescent="0.4">
      <c r="B237" s="7"/>
      <c r="C237" s="7"/>
      <c r="D237" s="7"/>
      <c r="F237" s="7"/>
      <c r="G237" s="7"/>
      <c r="H237" s="7"/>
    </row>
    <row r="238" spans="2:8" x14ac:dyDescent="0.4">
      <c r="B238" s="7"/>
      <c r="C238" s="7"/>
      <c r="D238" s="7"/>
      <c r="F238" s="7"/>
      <c r="G238" s="7"/>
      <c r="H238" s="7"/>
    </row>
    <row r="239" spans="2:8" x14ac:dyDescent="0.4">
      <c r="B239" s="7"/>
      <c r="C239" s="7"/>
      <c r="D239" s="7"/>
      <c r="F239" s="7"/>
      <c r="G239" s="7"/>
      <c r="H239" s="7"/>
    </row>
    <row r="240" spans="2:8" x14ac:dyDescent="0.4">
      <c r="B240" s="7"/>
      <c r="C240" s="7"/>
      <c r="D240" s="7"/>
      <c r="F240" s="7"/>
      <c r="G240" s="7"/>
      <c r="H240" s="7"/>
    </row>
    <row r="241" spans="2:8" x14ac:dyDescent="0.4">
      <c r="B241" s="7"/>
      <c r="C241" s="7"/>
      <c r="D241" s="7"/>
      <c r="F241" s="7"/>
      <c r="G241" s="7"/>
      <c r="H241" s="7"/>
    </row>
    <row r="242" spans="2:8" x14ac:dyDescent="0.4">
      <c r="B242" s="7"/>
      <c r="C242" s="7"/>
      <c r="D242" s="7"/>
      <c r="F242" s="7"/>
      <c r="G242" s="7"/>
      <c r="H242" s="7"/>
    </row>
    <row r="243" spans="2:8" x14ac:dyDescent="0.4">
      <c r="B243" s="7"/>
      <c r="C243" s="7"/>
      <c r="D243" s="7"/>
      <c r="F243" s="7"/>
      <c r="G243" s="7"/>
      <c r="H243" s="7"/>
    </row>
    <row r="244" spans="2:8" x14ac:dyDescent="0.4">
      <c r="B244" s="7"/>
      <c r="C244" s="7"/>
      <c r="D244" s="7"/>
      <c r="F244" s="7"/>
      <c r="G244" s="7"/>
      <c r="H244" s="7"/>
    </row>
    <row r="245" spans="2:8" x14ac:dyDescent="0.4">
      <c r="B245" s="7"/>
      <c r="C245" s="7"/>
      <c r="D245" s="7"/>
      <c r="F245" s="7"/>
      <c r="G245" s="7"/>
      <c r="H245" s="7"/>
    </row>
    <row r="246" spans="2:8" x14ac:dyDescent="0.4">
      <c r="B246" s="7"/>
      <c r="C246" s="7"/>
      <c r="D246" s="7"/>
      <c r="F246" s="7"/>
      <c r="G246" s="7"/>
      <c r="H246" s="7"/>
    </row>
    <row r="247" spans="2:8" x14ac:dyDescent="0.4">
      <c r="B247" s="7"/>
      <c r="C247" s="7"/>
      <c r="D247" s="7"/>
      <c r="F247" s="7"/>
      <c r="G247" s="7"/>
      <c r="H247" s="7"/>
    </row>
    <row r="248" spans="2:8" x14ac:dyDescent="0.4">
      <c r="B248" s="7"/>
      <c r="C248" s="7"/>
      <c r="D248" s="7"/>
      <c r="F248" s="7"/>
      <c r="G248" s="7"/>
      <c r="H248" s="7"/>
    </row>
    <row r="249" spans="2:8" x14ac:dyDescent="0.4">
      <c r="B249" s="7"/>
      <c r="C249" s="7"/>
      <c r="D249" s="7"/>
      <c r="F249" s="7"/>
      <c r="G249" s="7"/>
      <c r="H249" s="7"/>
    </row>
    <row r="250" spans="2:8" x14ac:dyDescent="0.4">
      <c r="B250" s="7"/>
      <c r="C250" s="7"/>
      <c r="D250" s="7"/>
      <c r="F250" s="7"/>
      <c r="G250" s="7"/>
      <c r="H250" s="7"/>
    </row>
    <row r="251" spans="2:8" x14ac:dyDescent="0.4">
      <c r="B251" s="7"/>
      <c r="C251" s="7"/>
      <c r="D251" s="7"/>
      <c r="F251" s="7"/>
      <c r="G251" s="7"/>
      <c r="H251" s="7"/>
    </row>
    <row r="252" spans="2:8" x14ac:dyDescent="0.4">
      <c r="B252" s="7"/>
      <c r="C252" s="7"/>
      <c r="D252" s="7"/>
      <c r="F252" s="7"/>
      <c r="G252" s="7"/>
      <c r="H252" s="7"/>
    </row>
    <row r="253" spans="2:8" x14ac:dyDescent="0.4">
      <c r="B253" s="7"/>
      <c r="C253" s="7"/>
      <c r="D253" s="7"/>
      <c r="F253" s="7"/>
      <c r="G253" s="7"/>
      <c r="H253" s="7"/>
    </row>
    <row r="254" spans="2:8" x14ac:dyDescent="0.4">
      <c r="B254" s="7"/>
      <c r="C254" s="7"/>
      <c r="D254" s="7"/>
      <c r="F254" s="7"/>
      <c r="G254" s="7"/>
      <c r="H254" s="7"/>
    </row>
    <row r="255" spans="2:8" x14ac:dyDescent="0.4">
      <c r="B255" s="7"/>
      <c r="C255" s="7"/>
      <c r="D255" s="7"/>
      <c r="F255" s="7"/>
      <c r="G255" s="7"/>
      <c r="H255" s="7"/>
    </row>
    <row r="256" spans="2:8" x14ac:dyDescent="0.4">
      <c r="B256" s="7"/>
      <c r="C256" s="7"/>
      <c r="D256" s="7"/>
      <c r="F256" s="7"/>
      <c r="G256" s="7"/>
      <c r="H256" s="7"/>
    </row>
    <row r="257" spans="2:8" x14ac:dyDescent="0.4">
      <c r="B257" s="7"/>
      <c r="C257" s="7"/>
      <c r="D257" s="7"/>
      <c r="F257" s="7"/>
      <c r="G257" s="7"/>
      <c r="H257" s="7"/>
    </row>
    <row r="258" spans="2:8" x14ac:dyDescent="0.4">
      <c r="B258" s="7"/>
      <c r="C258" s="7"/>
      <c r="D258" s="7"/>
      <c r="F258" s="7"/>
      <c r="G258" s="7"/>
      <c r="H258" s="7"/>
    </row>
    <row r="259" spans="2:8" x14ac:dyDescent="0.4">
      <c r="B259" s="7"/>
      <c r="C259" s="7"/>
      <c r="D259" s="7"/>
      <c r="F259" s="7"/>
      <c r="G259" s="7"/>
      <c r="H259" s="7"/>
    </row>
    <row r="260" spans="2:8" x14ac:dyDescent="0.4">
      <c r="B260" s="7"/>
      <c r="C260" s="7"/>
      <c r="D260" s="7"/>
      <c r="F260" s="7"/>
      <c r="G260" s="7"/>
      <c r="H260" s="7"/>
    </row>
    <row r="261" spans="2:8" x14ac:dyDescent="0.4">
      <c r="B261" s="7"/>
      <c r="C261" s="7"/>
      <c r="D261" s="7"/>
      <c r="F261" s="7"/>
      <c r="G261" s="7"/>
      <c r="H261" s="7"/>
    </row>
    <row r="262" spans="2:8" x14ac:dyDescent="0.4">
      <c r="B262" s="7"/>
      <c r="C262" s="7"/>
      <c r="D262" s="7"/>
      <c r="F262" s="7"/>
      <c r="G262" s="7"/>
      <c r="H262" s="7"/>
    </row>
    <row r="263" spans="2:8" x14ac:dyDescent="0.4">
      <c r="B263" s="7"/>
      <c r="C263" s="7"/>
      <c r="D263" s="7"/>
      <c r="F263" s="7"/>
      <c r="G263" s="7"/>
      <c r="H263" s="7"/>
    </row>
    <row r="264" spans="2:8" x14ac:dyDescent="0.4">
      <c r="B264" s="7"/>
      <c r="C264" s="7"/>
      <c r="D264" s="7"/>
      <c r="F264" s="7"/>
      <c r="G264" s="7"/>
      <c r="H264" s="7"/>
    </row>
    <row r="265" spans="2:8" x14ac:dyDescent="0.4">
      <c r="B265" s="7"/>
      <c r="C265" s="7"/>
      <c r="D265" s="7"/>
      <c r="F265" s="7"/>
      <c r="G265" s="7"/>
      <c r="H265" s="7"/>
    </row>
    <row r="266" spans="2:8" x14ac:dyDescent="0.4">
      <c r="B266" s="7"/>
      <c r="C266" s="7"/>
      <c r="D266" s="7"/>
      <c r="F266" s="7"/>
      <c r="G266" s="7"/>
      <c r="H266" s="7"/>
    </row>
    <row r="267" spans="2:8" x14ac:dyDescent="0.4">
      <c r="B267" s="7"/>
      <c r="C267" s="7"/>
      <c r="D267" s="7"/>
      <c r="F267" s="7"/>
      <c r="G267" s="7"/>
      <c r="H267" s="7"/>
    </row>
    <row r="268" spans="2:8" x14ac:dyDescent="0.4">
      <c r="B268" s="7"/>
      <c r="C268" s="7"/>
      <c r="D268" s="7"/>
      <c r="F268" s="7"/>
      <c r="G268" s="7"/>
      <c r="H268" s="7"/>
    </row>
    <row r="269" spans="2:8" x14ac:dyDescent="0.4">
      <c r="B269" s="7"/>
      <c r="C269" s="7"/>
      <c r="D269" s="7"/>
      <c r="F269" s="7"/>
      <c r="G269" s="7"/>
      <c r="H269" s="7"/>
    </row>
    <row r="270" spans="2:8" x14ac:dyDescent="0.4">
      <c r="B270" s="7"/>
      <c r="C270" s="7"/>
      <c r="D270" s="7"/>
      <c r="F270" s="7"/>
      <c r="G270" s="7"/>
      <c r="H270" s="7"/>
    </row>
    <row r="271" spans="2:8" x14ac:dyDescent="0.4">
      <c r="B271" s="7"/>
      <c r="C271" s="7"/>
      <c r="D271" s="7"/>
      <c r="F271" s="7"/>
      <c r="G271" s="7"/>
      <c r="H271" s="7"/>
    </row>
    <row r="272" spans="2:8" x14ac:dyDescent="0.4">
      <c r="B272" s="7"/>
      <c r="C272" s="7"/>
      <c r="D272" s="7"/>
      <c r="F272" s="7"/>
      <c r="G272" s="7"/>
      <c r="H272" s="7"/>
    </row>
    <row r="273" spans="2:8" x14ac:dyDescent="0.4">
      <c r="B273" s="7"/>
      <c r="C273" s="7"/>
      <c r="D273" s="7"/>
      <c r="F273" s="7"/>
      <c r="G273" s="7"/>
      <c r="H273" s="7"/>
    </row>
    <row r="274" spans="2:8" x14ac:dyDescent="0.4">
      <c r="B274" s="7"/>
      <c r="C274" s="7"/>
      <c r="D274" s="7"/>
      <c r="F274" s="7"/>
      <c r="G274" s="7"/>
      <c r="H274" s="7"/>
    </row>
    <row r="275" spans="2:8" x14ac:dyDescent="0.4">
      <c r="B275" s="7"/>
      <c r="C275" s="7"/>
      <c r="D275" s="7"/>
      <c r="F275" s="7"/>
      <c r="G275" s="7"/>
      <c r="H275" s="7"/>
    </row>
    <row r="276" spans="2:8" x14ac:dyDescent="0.4">
      <c r="B276" s="7"/>
      <c r="C276" s="7"/>
      <c r="D276" s="7"/>
      <c r="F276" s="7"/>
      <c r="G276" s="7"/>
      <c r="H276" s="7"/>
    </row>
    <row r="277" spans="2:8" x14ac:dyDescent="0.4">
      <c r="B277" s="7"/>
      <c r="C277" s="7"/>
      <c r="D277" s="7"/>
      <c r="F277" s="7"/>
      <c r="G277" s="7"/>
      <c r="H277" s="7"/>
    </row>
    <row r="278" spans="2:8" x14ac:dyDescent="0.4">
      <c r="B278" s="7"/>
      <c r="C278" s="7"/>
      <c r="D278" s="7"/>
      <c r="F278" s="7"/>
      <c r="G278" s="7"/>
      <c r="H278" s="7"/>
    </row>
    <row r="279" spans="2:8" x14ac:dyDescent="0.4">
      <c r="B279" s="7"/>
      <c r="C279" s="7"/>
      <c r="D279" s="7"/>
      <c r="F279" s="7"/>
      <c r="G279" s="7"/>
      <c r="H279" s="7"/>
    </row>
    <row r="280" spans="2:8" x14ac:dyDescent="0.4">
      <c r="B280" s="7"/>
      <c r="C280" s="7"/>
      <c r="D280" s="7"/>
      <c r="F280" s="7"/>
      <c r="G280" s="7"/>
      <c r="H280" s="7"/>
    </row>
    <row r="281" spans="2:8" x14ac:dyDescent="0.4">
      <c r="B281" s="7"/>
      <c r="C281" s="7"/>
      <c r="D281" s="7"/>
      <c r="F281" s="7"/>
      <c r="G281" s="7"/>
      <c r="H281" s="7"/>
    </row>
    <row r="282" spans="2:8" x14ac:dyDescent="0.4">
      <c r="B282" s="7"/>
      <c r="C282" s="7"/>
      <c r="D282" s="7"/>
      <c r="F282" s="7"/>
      <c r="G282" s="7"/>
      <c r="H282" s="7"/>
    </row>
    <row r="283" spans="2:8" x14ac:dyDescent="0.4">
      <c r="B283" s="7"/>
      <c r="C283" s="7"/>
      <c r="D283" s="7"/>
      <c r="F283" s="7"/>
      <c r="G283" s="7"/>
      <c r="H283" s="7"/>
    </row>
    <row r="284" spans="2:8" x14ac:dyDescent="0.4">
      <c r="B284" s="7"/>
      <c r="C284" s="7"/>
      <c r="D284" s="7"/>
      <c r="F284" s="7"/>
      <c r="G284" s="7"/>
      <c r="H284" s="7"/>
    </row>
    <row r="285" spans="2:8" x14ac:dyDescent="0.4">
      <c r="B285" s="7"/>
      <c r="C285" s="7"/>
      <c r="D285" s="7"/>
      <c r="F285" s="7"/>
      <c r="G285" s="7"/>
      <c r="H285" s="7"/>
    </row>
    <row r="286" spans="2:8" x14ac:dyDescent="0.4">
      <c r="B286" s="7"/>
      <c r="C286" s="7"/>
      <c r="D286" s="7"/>
      <c r="F286" s="7"/>
      <c r="G286" s="7"/>
      <c r="H286" s="7"/>
    </row>
    <row r="287" spans="2:8" x14ac:dyDescent="0.4">
      <c r="B287" s="7"/>
      <c r="C287" s="7"/>
      <c r="D287" s="7"/>
      <c r="F287" s="7"/>
      <c r="G287" s="7"/>
      <c r="H287" s="7"/>
    </row>
    <row r="288" spans="2:8" x14ac:dyDescent="0.4">
      <c r="B288" s="7"/>
      <c r="C288" s="7"/>
      <c r="D288" s="7"/>
      <c r="F288" s="7"/>
      <c r="G288" s="7"/>
      <c r="H288" s="7"/>
    </row>
    <row r="289" spans="2:8" x14ac:dyDescent="0.4">
      <c r="B289" s="7"/>
      <c r="C289" s="7"/>
      <c r="D289" s="7"/>
      <c r="F289" s="7"/>
      <c r="G289" s="7"/>
      <c r="H289" s="7"/>
    </row>
    <row r="290" spans="2:8" x14ac:dyDescent="0.4">
      <c r="B290" s="7"/>
      <c r="C290" s="7"/>
      <c r="D290" s="7"/>
      <c r="F290" s="7"/>
      <c r="G290" s="7"/>
      <c r="H290" s="7"/>
    </row>
    <row r="291" spans="2:8" x14ac:dyDescent="0.4">
      <c r="B291" s="7"/>
      <c r="C291" s="7"/>
      <c r="D291" s="7"/>
      <c r="F291" s="7"/>
      <c r="G291" s="7"/>
      <c r="H291" s="7"/>
    </row>
    <row r="292" spans="2:8" x14ac:dyDescent="0.4">
      <c r="B292" s="7"/>
      <c r="C292" s="7"/>
      <c r="D292" s="7"/>
      <c r="F292" s="7"/>
      <c r="G292" s="7"/>
      <c r="H292" s="7"/>
    </row>
    <row r="293" spans="2:8" x14ac:dyDescent="0.4">
      <c r="B293" s="7"/>
      <c r="C293" s="7"/>
      <c r="D293" s="7"/>
      <c r="F293" s="7"/>
      <c r="G293" s="7"/>
      <c r="H293" s="7"/>
    </row>
    <row r="294" spans="2:8" x14ac:dyDescent="0.4">
      <c r="B294" s="7"/>
      <c r="C294" s="7"/>
      <c r="D294" s="7"/>
      <c r="F294" s="7"/>
      <c r="G294" s="7"/>
      <c r="H294" s="7"/>
    </row>
    <row r="295" spans="2:8" x14ac:dyDescent="0.4">
      <c r="B295" s="7"/>
      <c r="C295" s="7"/>
      <c r="D295" s="7"/>
      <c r="F295" s="7"/>
      <c r="G295" s="7"/>
      <c r="H295" s="7"/>
    </row>
    <row r="296" spans="2:8" x14ac:dyDescent="0.4">
      <c r="B296" s="7"/>
      <c r="C296" s="7"/>
      <c r="D296" s="7"/>
      <c r="F296" s="7"/>
      <c r="G296" s="7"/>
      <c r="H296" s="7"/>
    </row>
    <row r="297" spans="2:8" x14ac:dyDescent="0.4">
      <c r="B297" s="7"/>
      <c r="C297" s="7"/>
      <c r="D297" s="7"/>
      <c r="F297" s="7"/>
      <c r="G297" s="7"/>
      <c r="H297" s="7"/>
    </row>
    <row r="298" spans="2:8" x14ac:dyDescent="0.4">
      <c r="B298" s="7"/>
      <c r="C298" s="7"/>
      <c r="D298" s="7"/>
      <c r="F298" s="7"/>
      <c r="G298" s="7"/>
      <c r="H298" s="7"/>
    </row>
    <row r="299" spans="2:8" x14ac:dyDescent="0.4">
      <c r="B299" s="7"/>
      <c r="C299" s="7"/>
      <c r="D299" s="7"/>
      <c r="F299" s="7"/>
      <c r="G299" s="7"/>
      <c r="H299" s="7"/>
    </row>
    <row r="300" spans="2:8" x14ac:dyDescent="0.4">
      <c r="B300" s="7"/>
      <c r="C300" s="7"/>
      <c r="D300" s="7"/>
      <c r="F300" s="7"/>
      <c r="G300" s="7"/>
      <c r="H300" s="7"/>
    </row>
    <row r="301" spans="2:8" x14ac:dyDescent="0.4">
      <c r="B301" s="7"/>
      <c r="C301" s="7"/>
      <c r="D301" s="7"/>
      <c r="F301" s="7"/>
      <c r="G301" s="7"/>
      <c r="H301" s="7"/>
    </row>
    <row r="302" spans="2:8" x14ac:dyDescent="0.4">
      <c r="B302" s="7"/>
      <c r="C302" s="7"/>
      <c r="D302" s="7"/>
      <c r="F302" s="7"/>
      <c r="G302" s="7"/>
      <c r="H302" s="7"/>
    </row>
    <row r="303" spans="2:8" x14ac:dyDescent="0.4">
      <c r="B303" s="7"/>
      <c r="C303" s="7"/>
      <c r="D303" s="7"/>
      <c r="F303" s="7"/>
      <c r="G303" s="7"/>
      <c r="H303" s="7"/>
    </row>
    <row r="304" spans="2:8" x14ac:dyDescent="0.4">
      <c r="B304" s="7"/>
      <c r="C304" s="7"/>
      <c r="D304" s="7"/>
      <c r="F304" s="7"/>
      <c r="G304" s="7"/>
      <c r="H304" s="7"/>
    </row>
  </sheetData>
  <mergeCells count="21">
    <mergeCell ref="J20:J21"/>
    <mergeCell ref="K20:K21"/>
    <mergeCell ref="M20:M21"/>
    <mergeCell ref="N20:N21"/>
    <mergeCell ref="J22:J23"/>
    <mergeCell ref="K22:K23"/>
    <mergeCell ref="M22:M23"/>
    <mergeCell ref="N22:N23"/>
    <mergeCell ref="M16:M17"/>
    <mergeCell ref="N16:N17"/>
    <mergeCell ref="J18:J19"/>
    <mergeCell ref="K18:K19"/>
    <mergeCell ref="M18:M19"/>
    <mergeCell ref="N18:N19"/>
    <mergeCell ref="J16:J17"/>
    <mergeCell ref="K16:K17"/>
    <mergeCell ref="A1:J1"/>
    <mergeCell ref="B3:D3"/>
    <mergeCell ref="F3:H3"/>
    <mergeCell ref="J3:K3"/>
    <mergeCell ref="J4:K4"/>
  </mergeCells>
  <phoneticPr fontId="1"/>
  <conditionalFormatting sqref="B4:D330">
    <cfRule type="cellIs" dxfId="19" priority="6" operator="equal">
      <formula>"牛お化け"</formula>
    </cfRule>
    <cfRule type="cellIs" dxfId="18" priority="7" operator="equal">
      <formula>"上タヌキ"</formula>
    </cfRule>
    <cfRule type="cellIs" dxfId="17" priority="8" operator="equal">
      <formula>"デカタヌキ"</formula>
    </cfRule>
    <cfRule type="containsText" dxfId="16" priority="9" operator="containsText" text="タヌキ">
      <formula>NOT(ISERROR(SEARCH("タヌキ",B4)))</formula>
    </cfRule>
    <cfRule type="containsText" dxfId="15" priority="10" operator="containsText" text="スタート">
      <formula>NOT(ISERROR(SEARCH("スタート",B4)))</formula>
    </cfRule>
  </conditionalFormatting>
  <conditionalFormatting sqref="F4:H350">
    <cfRule type="cellIs" dxfId="14" priority="1" operator="equal">
      <formula>"スタート"</formula>
    </cfRule>
    <cfRule type="containsText" dxfId="13" priority="2" operator="containsText" text="Y">
      <formula>NOT(ISERROR(SEARCH("Y",F4)))</formula>
    </cfRule>
    <cfRule type="containsText" dxfId="12" priority="3" operator="containsText" text="B">
      <formula>NOT(ISERROR(SEARCH("B",F4)))</formula>
    </cfRule>
    <cfRule type="containsText" dxfId="11" priority="4" operator="containsText" text="X">
      <formula>NOT(ISERROR(SEARCH("X",F4)))</formula>
    </cfRule>
    <cfRule type="containsText" dxfId="10" priority="5" operator="containsText" text="A">
      <formula>NOT(ISERROR(SEARCH("A",F4)))</formula>
    </cfRule>
  </conditionalFormatting>
  <dataValidations count="2">
    <dataValidation type="list" allowBlank="1" showInputMessage="1" showErrorMessage="1" sqref="F4:H327">
      <formula1>"A,B,X,Y"</formula1>
    </dataValidation>
    <dataValidation type="list" allowBlank="1" showInputMessage="1" showErrorMessage="1" sqref="B4:D311">
      <formula1>"タヌキ,牛お化け,上タヌキ,デカタヌキ"</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3078" r:id="rId4" name="CommandCheck">
          <controlPr defaultSize="0" autoLine="0" r:id="rId5">
            <anchor moveWithCells="1">
              <from>
                <xdr:col>9</xdr:col>
                <xdr:colOff>9525</xdr:colOff>
                <xdr:row>6</xdr:row>
                <xdr:rowOff>19050</xdr:rowOff>
              </from>
              <to>
                <xdr:col>12</xdr:col>
                <xdr:colOff>590550</xdr:colOff>
                <xdr:row>8</xdr:row>
                <xdr:rowOff>38100</xdr:rowOff>
              </to>
            </anchor>
          </controlPr>
        </control>
      </mc:Choice>
      <mc:Fallback>
        <control shapeId="3078" r:id="rId4" name="CommandCheck"/>
      </mc:Fallback>
    </mc:AlternateContent>
    <mc:AlternateContent xmlns:mc="http://schemas.openxmlformats.org/markup-compatibility/2006">
      <mc:Choice Requires="x14">
        <control shapeId="3077" r:id="rId6" name="Stage_Long_TenUP">
          <controlPr defaultSize="0" autoLine="0" r:id="rId7">
            <anchor moveWithCells="1">
              <from>
                <xdr:col>11</xdr:col>
                <xdr:colOff>9525</xdr:colOff>
                <xdr:row>1</xdr:row>
                <xdr:rowOff>0</xdr:rowOff>
              </from>
              <to>
                <xdr:col>12</xdr:col>
                <xdr:colOff>28575</xdr:colOff>
                <xdr:row>2</xdr:row>
                <xdr:rowOff>0</xdr:rowOff>
              </to>
            </anchor>
          </controlPr>
        </control>
      </mc:Choice>
      <mc:Fallback>
        <control shapeId="3077" r:id="rId6" name="Stage_Long_TenUP"/>
      </mc:Fallback>
    </mc:AlternateContent>
    <mc:AlternateContent xmlns:mc="http://schemas.openxmlformats.org/markup-compatibility/2006">
      <mc:Choice Requires="x14">
        <control shapeId="3076" r:id="rId8" name="Stage_Long_TenDown">
          <controlPr defaultSize="0" autoLine="0" r:id="rId9">
            <anchor moveWithCells="1">
              <from>
                <xdr:col>11</xdr:col>
                <xdr:colOff>0</xdr:colOff>
                <xdr:row>4</xdr:row>
                <xdr:rowOff>19050</xdr:rowOff>
              </from>
              <to>
                <xdr:col>12</xdr:col>
                <xdr:colOff>19050</xdr:colOff>
                <xdr:row>5</xdr:row>
                <xdr:rowOff>28575</xdr:rowOff>
              </to>
            </anchor>
          </controlPr>
        </control>
      </mc:Choice>
      <mc:Fallback>
        <control shapeId="3076" r:id="rId8" name="Stage_Long_TenDown"/>
      </mc:Fallback>
    </mc:AlternateContent>
    <mc:AlternateContent xmlns:mc="http://schemas.openxmlformats.org/markup-compatibility/2006">
      <mc:Choice Requires="x14">
        <control shapeId="3075" r:id="rId10" name="Stage_Long_OneDown">
          <controlPr defaultSize="0" autoLine="0" r:id="rId11">
            <anchor moveWithCells="1">
              <from>
                <xdr:col>11</xdr:col>
                <xdr:colOff>0</xdr:colOff>
                <xdr:row>2</xdr:row>
                <xdr:rowOff>219075</xdr:rowOff>
              </from>
              <to>
                <xdr:col>12</xdr:col>
                <xdr:colOff>19050</xdr:colOff>
                <xdr:row>3</xdr:row>
                <xdr:rowOff>228600</xdr:rowOff>
              </to>
            </anchor>
          </controlPr>
        </control>
      </mc:Choice>
      <mc:Fallback>
        <control shapeId="3075" r:id="rId10" name="Stage_Long_OneDown"/>
      </mc:Fallback>
    </mc:AlternateContent>
    <mc:AlternateContent xmlns:mc="http://schemas.openxmlformats.org/markup-compatibility/2006">
      <mc:Choice Requires="x14">
        <control shapeId="3074" r:id="rId12" name="Stage_Long_OneUP">
          <controlPr defaultSize="0" autoLine="0" r:id="rId13">
            <anchor moveWithCells="1">
              <from>
                <xdr:col>11</xdr:col>
                <xdr:colOff>0</xdr:colOff>
                <xdr:row>1</xdr:row>
                <xdr:rowOff>219075</xdr:rowOff>
              </from>
              <to>
                <xdr:col>12</xdr:col>
                <xdr:colOff>19050</xdr:colOff>
                <xdr:row>2</xdr:row>
                <xdr:rowOff>219075</xdr:rowOff>
              </to>
            </anchor>
          </controlPr>
        </control>
      </mc:Choice>
      <mc:Fallback>
        <control shapeId="3074" r:id="rId12" name="Stage_Long_OneUP"/>
      </mc:Fallback>
    </mc:AlternateContent>
    <mc:AlternateContent xmlns:mc="http://schemas.openxmlformats.org/markup-compatibility/2006">
      <mc:Choice Requires="x14">
        <control shapeId="3073" r:id="rId14" name="CommandButton1">
          <controlPr defaultSize="0" autoLine="0" r:id="rId15">
            <anchor moveWithCells="1">
              <from>
                <xdr:col>9</xdr:col>
                <xdr:colOff>19050</xdr:colOff>
                <xdr:row>9</xdr:row>
                <xdr:rowOff>19050</xdr:rowOff>
              </from>
              <to>
                <xdr:col>12</xdr:col>
                <xdr:colOff>514350</xdr:colOff>
                <xdr:row>11</xdr:row>
                <xdr:rowOff>209550</xdr:rowOff>
              </to>
            </anchor>
          </controlPr>
        </control>
      </mc:Choice>
      <mc:Fallback>
        <control shapeId="3073" r:id="rId1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V304"/>
  <sheetViews>
    <sheetView zoomScaleNormal="100" workbookViewId="0">
      <selection activeCell="D49" sqref="D8:D49"/>
    </sheetView>
  </sheetViews>
  <sheetFormatPr defaultColWidth="8.75" defaultRowHeight="18.75" x14ac:dyDescent="0.4"/>
  <cols>
    <col min="1" max="1" width="8.75" style="12"/>
    <col min="2" max="4" width="11" style="12" bestFit="1" customWidth="1"/>
    <col min="5" max="9" width="8.75" style="12"/>
    <col min="10" max="10" width="10.375" style="12" bestFit="1" customWidth="1"/>
    <col min="11" max="11" width="8.75" style="12"/>
    <col min="12" max="12" width="9.125" style="12" bestFit="1" customWidth="1"/>
    <col min="13" max="14" width="8.75" style="12"/>
    <col min="15" max="15" width="3.125" style="12" customWidth="1"/>
    <col min="16" max="16384" width="8.75" style="12"/>
  </cols>
  <sheetData>
    <row r="1" spans="1:22" ht="36" customHeight="1" thickBot="1" x14ac:dyDescent="0.45">
      <c r="A1" s="37" t="s">
        <v>32</v>
      </c>
      <c r="B1" s="37"/>
      <c r="C1" s="37"/>
      <c r="D1" s="37"/>
      <c r="E1" s="37"/>
      <c r="F1" s="37"/>
      <c r="G1" s="37"/>
      <c r="H1" s="37"/>
      <c r="I1" s="37"/>
      <c r="J1" s="37"/>
    </row>
    <row r="2" spans="1:22" ht="19.5" thickBot="1" x14ac:dyDescent="0.45">
      <c r="A2" s="11"/>
      <c r="B2" s="30" t="s">
        <v>3</v>
      </c>
      <c r="F2" s="31" t="s">
        <v>42</v>
      </c>
      <c r="P2" s="27" t="s">
        <v>14</v>
      </c>
      <c r="Q2" s="28"/>
      <c r="R2" s="28"/>
      <c r="S2" s="28"/>
      <c r="T2" s="28"/>
      <c r="U2" s="28"/>
      <c r="V2" s="29"/>
    </row>
    <row r="3" spans="1:22" ht="18.75" customHeight="1" x14ac:dyDescent="0.4">
      <c r="B3" s="51" t="s">
        <v>43</v>
      </c>
      <c r="C3" s="51"/>
      <c r="D3" s="51"/>
      <c r="F3" s="51" t="s">
        <v>1</v>
      </c>
      <c r="G3" s="51"/>
      <c r="H3" s="51"/>
      <c r="J3" s="52" t="s">
        <v>0</v>
      </c>
      <c r="K3" s="52"/>
      <c r="P3" s="18" t="s">
        <v>18</v>
      </c>
      <c r="Q3" s="16"/>
      <c r="R3" s="16"/>
      <c r="S3" s="16"/>
      <c r="T3" s="16"/>
      <c r="U3" s="16"/>
      <c r="V3" s="19"/>
    </row>
    <row r="4" spans="1:22" x14ac:dyDescent="0.4">
      <c r="B4" s="1" t="s">
        <v>5</v>
      </c>
      <c r="C4" s="2" t="s">
        <v>15</v>
      </c>
      <c r="D4" s="3" t="s">
        <v>5</v>
      </c>
      <c r="E4" s="34"/>
      <c r="F4" s="1" t="s">
        <v>41</v>
      </c>
      <c r="G4" s="2" t="s">
        <v>40</v>
      </c>
      <c r="H4" s="3" t="s">
        <v>16</v>
      </c>
      <c r="I4" s="7"/>
      <c r="J4" s="53">
        <v>3</v>
      </c>
      <c r="K4" s="53"/>
      <c r="L4" s="7"/>
      <c r="M4" s="7"/>
      <c r="N4" s="7"/>
      <c r="O4" s="7"/>
      <c r="P4" s="20"/>
      <c r="Q4" s="16"/>
      <c r="R4" s="16"/>
      <c r="S4" s="16"/>
      <c r="T4" s="16"/>
      <c r="U4" s="16"/>
      <c r="V4" s="19"/>
    </row>
    <row r="5" spans="1:22" x14ac:dyDescent="0.4">
      <c r="B5" s="9"/>
      <c r="C5" s="8"/>
      <c r="D5" s="10"/>
      <c r="E5" s="34"/>
      <c r="F5" s="4"/>
      <c r="G5" s="34"/>
      <c r="H5" s="6"/>
      <c r="I5" s="7"/>
      <c r="J5" s="7"/>
      <c r="K5" s="7"/>
      <c r="L5" s="7"/>
      <c r="M5" s="7"/>
      <c r="N5" s="7"/>
      <c r="O5" s="7"/>
      <c r="P5" s="18" t="s">
        <v>19</v>
      </c>
      <c r="Q5" s="16"/>
      <c r="R5" s="16"/>
      <c r="S5" s="16"/>
      <c r="T5" s="16"/>
      <c r="U5" s="16"/>
      <c r="V5" s="19"/>
    </row>
    <row r="6" spans="1:22" x14ac:dyDescent="0.4">
      <c r="B6" s="4"/>
      <c r="C6" s="34"/>
      <c r="D6" s="10"/>
      <c r="E6" s="34"/>
      <c r="F6" s="4"/>
      <c r="G6" s="34"/>
      <c r="H6" s="6"/>
      <c r="I6" s="7"/>
      <c r="J6" s="7"/>
      <c r="K6" s="7"/>
      <c r="L6" s="7"/>
      <c r="M6" s="7"/>
      <c r="N6" s="7"/>
      <c r="O6" s="7"/>
      <c r="P6" s="18" t="s">
        <v>20</v>
      </c>
      <c r="Q6" s="16"/>
      <c r="R6" s="16"/>
      <c r="S6" s="16"/>
      <c r="T6" s="16"/>
      <c r="U6" s="16"/>
      <c r="V6" s="19"/>
    </row>
    <row r="7" spans="1:22" x14ac:dyDescent="0.4">
      <c r="B7" s="13" t="s">
        <v>2</v>
      </c>
      <c r="C7" s="14" t="s">
        <v>2</v>
      </c>
      <c r="D7" s="36" t="s">
        <v>2</v>
      </c>
      <c r="E7" s="34"/>
      <c r="F7" s="13" t="s">
        <v>2</v>
      </c>
      <c r="G7" s="14" t="s">
        <v>2</v>
      </c>
      <c r="H7" s="15" t="s">
        <v>2</v>
      </c>
      <c r="I7" s="7"/>
      <c r="J7" s="7"/>
      <c r="K7" s="7"/>
      <c r="L7" s="7"/>
      <c r="M7" s="7"/>
      <c r="N7" s="7"/>
      <c r="O7" s="7"/>
      <c r="P7" s="18" t="s">
        <v>21</v>
      </c>
      <c r="Q7" s="17"/>
      <c r="R7" s="17"/>
      <c r="S7" s="17"/>
      <c r="T7" s="17"/>
      <c r="U7" s="16"/>
      <c r="V7" s="19"/>
    </row>
    <row r="8" spans="1:22" x14ac:dyDescent="0.4">
      <c r="B8" s="34"/>
      <c r="C8" s="34"/>
      <c r="D8" s="8"/>
      <c r="E8" s="34"/>
      <c r="F8" s="34"/>
      <c r="G8" s="34"/>
      <c r="H8" s="34"/>
      <c r="I8" s="7"/>
      <c r="J8" s="7"/>
      <c r="K8" s="7"/>
      <c r="L8" s="7"/>
      <c r="M8" s="7"/>
      <c r="N8" s="7"/>
      <c r="O8" s="7"/>
      <c r="P8" s="21"/>
      <c r="Q8" s="7"/>
      <c r="R8" s="7"/>
      <c r="S8" s="7"/>
      <c r="T8" s="7"/>
      <c r="U8" s="7"/>
      <c r="V8" s="22"/>
    </row>
    <row r="9" spans="1:22" x14ac:dyDescent="0.4">
      <c r="B9" s="34"/>
      <c r="C9" s="34"/>
      <c r="D9" s="8"/>
      <c r="E9" s="34"/>
      <c r="F9" s="34"/>
      <c r="G9" s="34"/>
      <c r="H9" s="34"/>
      <c r="I9" s="7"/>
      <c r="J9" s="7"/>
      <c r="K9" s="7"/>
      <c r="L9" s="7"/>
      <c r="M9" s="7"/>
      <c r="N9" s="7"/>
      <c r="O9" s="7"/>
      <c r="P9" s="21" t="s">
        <v>22</v>
      </c>
      <c r="Q9" s="7"/>
      <c r="R9" s="7"/>
      <c r="S9" s="7"/>
      <c r="T9" s="7"/>
      <c r="U9" s="7"/>
      <c r="V9" s="22"/>
    </row>
    <row r="10" spans="1:22" ht="18.75" customHeight="1" x14ac:dyDescent="0.4">
      <c r="B10" s="34"/>
      <c r="C10" s="34"/>
      <c r="D10" s="8"/>
      <c r="E10" s="34"/>
      <c r="F10" s="34"/>
      <c r="G10" s="34"/>
      <c r="H10" s="34"/>
      <c r="I10" s="7"/>
      <c r="J10" s="7"/>
      <c r="K10" s="7"/>
      <c r="L10" s="7"/>
      <c r="M10" s="7"/>
      <c r="N10" s="7"/>
      <c r="O10" s="7"/>
      <c r="P10" s="18" t="s">
        <v>23</v>
      </c>
      <c r="Q10" s="17"/>
      <c r="R10" s="17"/>
      <c r="S10" s="17"/>
      <c r="T10" s="17"/>
      <c r="U10" s="17"/>
      <c r="V10" s="23"/>
    </row>
    <row r="11" spans="1:22" x14ac:dyDescent="0.4">
      <c r="B11" s="34"/>
      <c r="C11" s="34"/>
      <c r="D11" s="8"/>
      <c r="E11" s="34"/>
      <c r="F11" s="34"/>
      <c r="G11" s="34"/>
      <c r="H11" s="34"/>
      <c r="I11" s="7"/>
      <c r="J11" s="7"/>
      <c r="K11" s="7"/>
      <c r="L11" s="7"/>
      <c r="M11" s="7"/>
      <c r="N11" s="7"/>
      <c r="O11" s="7"/>
      <c r="P11" s="18" t="s">
        <v>26</v>
      </c>
      <c r="Q11" s="17"/>
      <c r="R11" s="17"/>
      <c r="S11" s="17"/>
      <c r="T11" s="17"/>
      <c r="U11" s="17"/>
      <c r="V11" s="23"/>
    </row>
    <row r="12" spans="1:22" x14ac:dyDescent="0.4">
      <c r="B12" s="34"/>
      <c r="C12" s="34"/>
      <c r="D12" s="8"/>
      <c r="E12" s="34"/>
      <c r="F12" s="34"/>
      <c r="G12" s="34"/>
      <c r="H12" s="34"/>
      <c r="I12" s="7"/>
      <c r="J12" s="7"/>
      <c r="K12" s="7"/>
      <c r="L12" s="7"/>
      <c r="M12" s="7"/>
      <c r="N12" s="7"/>
      <c r="O12" s="7"/>
      <c r="P12" s="21" t="s">
        <v>24</v>
      </c>
      <c r="Q12" s="7"/>
      <c r="R12" s="7"/>
      <c r="S12" s="7"/>
      <c r="T12" s="7"/>
      <c r="U12" s="7"/>
      <c r="V12" s="22"/>
    </row>
    <row r="13" spans="1:22" x14ac:dyDescent="0.4">
      <c r="B13" s="34"/>
      <c r="C13" s="34"/>
      <c r="D13" s="8"/>
      <c r="E13" s="34"/>
      <c r="F13" s="34"/>
      <c r="G13" s="34"/>
      <c r="H13" s="34"/>
      <c r="I13" s="7"/>
      <c r="J13" s="7"/>
      <c r="K13" s="7"/>
      <c r="L13" s="7"/>
      <c r="M13" s="7"/>
      <c r="N13" s="7"/>
      <c r="O13" s="7"/>
      <c r="P13" s="21" t="s">
        <v>25</v>
      </c>
      <c r="Q13" s="7"/>
      <c r="R13" s="7"/>
      <c r="S13" s="7"/>
      <c r="T13" s="7"/>
      <c r="U13" s="7"/>
      <c r="V13" s="22"/>
    </row>
    <row r="14" spans="1:22" x14ac:dyDescent="0.4">
      <c r="B14" s="34"/>
      <c r="C14" s="34"/>
      <c r="D14" s="8"/>
      <c r="E14" s="34"/>
      <c r="F14" s="34"/>
      <c r="G14" s="34"/>
      <c r="H14" s="34"/>
      <c r="I14" s="7"/>
      <c r="J14" s="34"/>
      <c r="K14" s="7"/>
      <c r="L14" s="7"/>
      <c r="M14" s="7"/>
      <c r="N14" s="7"/>
      <c r="O14" s="7"/>
      <c r="P14" s="21" t="s">
        <v>27</v>
      </c>
      <c r="Q14" s="7"/>
      <c r="R14" s="7"/>
      <c r="S14" s="7"/>
      <c r="T14" s="7"/>
      <c r="U14" s="7"/>
      <c r="V14" s="22"/>
    </row>
    <row r="15" spans="1:22" ht="19.5" thickBot="1" x14ac:dyDescent="0.45">
      <c r="B15" s="34"/>
      <c r="C15" s="34"/>
      <c r="D15" s="8"/>
      <c r="E15" s="34"/>
      <c r="F15" s="34"/>
      <c r="G15" s="34"/>
      <c r="H15" s="34"/>
      <c r="I15" s="7"/>
      <c r="J15" s="34" t="s">
        <v>37</v>
      </c>
      <c r="L15" s="7"/>
      <c r="M15" s="7" t="s">
        <v>12</v>
      </c>
      <c r="P15" s="21" t="s">
        <v>28</v>
      </c>
      <c r="Q15" s="7"/>
      <c r="R15" s="7"/>
      <c r="S15" s="7"/>
      <c r="T15" s="7"/>
      <c r="U15" s="7"/>
      <c r="V15" s="22"/>
    </row>
    <row r="16" spans="1:22" x14ac:dyDescent="0.4">
      <c r="B16" s="34"/>
      <c r="C16" s="34"/>
      <c r="D16" s="8"/>
      <c r="E16" s="34"/>
      <c r="F16" s="34"/>
      <c r="G16" s="34"/>
      <c r="H16" s="34"/>
      <c r="I16" s="7"/>
      <c r="J16" s="38" t="s">
        <v>38</v>
      </c>
      <c r="K16" s="47">
        <f>COUNTIF(B4:D314, "タヌキ")</f>
        <v>0</v>
      </c>
      <c r="L16" s="7"/>
      <c r="M16" s="38" t="s">
        <v>44</v>
      </c>
      <c r="N16" s="42">
        <f>COUNTIF(F4:H312,"A")</f>
        <v>1</v>
      </c>
      <c r="P16" s="21"/>
      <c r="Q16" s="7"/>
      <c r="R16" s="7"/>
      <c r="S16" s="7"/>
      <c r="T16" s="7"/>
      <c r="U16" s="7"/>
      <c r="V16" s="22"/>
    </row>
    <row r="17" spans="2:22" x14ac:dyDescent="0.4">
      <c r="B17" s="34"/>
      <c r="C17" s="34"/>
      <c r="D17" s="8"/>
      <c r="E17" s="34"/>
      <c r="F17" s="34"/>
      <c r="G17" s="34"/>
      <c r="H17" s="34"/>
      <c r="I17" s="7"/>
      <c r="J17" s="39"/>
      <c r="K17" s="48"/>
      <c r="L17" s="7"/>
      <c r="M17" s="39"/>
      <c r="N17" s="40"/>
      <c r="P17" s="21" t="s">
        <v>29</v>
      </c>
      <c r="Q17" s="7"/>
      <c r="R17" s="7"/>
      <c r="S17" s="7"/>
      <c r="T17" s="7"/>
      <c r="U17" s="7"/>
      <c r="V17" s="22"/>
    </row>
    <row r="18" spans="2:22" x14ac:dyDescent="0.4">
      <c r="B18" s="34"/>
      <c r="C18" s="34"/>
      <c r="D18" s="8"/>
      <c r="E18" s="34"/>
      <c r="F18" s="34"/>
      <c r="G18" s="34"/>
      <c r="H18" s="34"/>
      <c r="I18" s="7"/>
      <c r="J18" s="49" t="s">
        <v>33</v>
      </c>
      <c r="K18" s="48">
        <f>COUNTIF(B4:D314, "牛お化け")</f>
        <v>0</v>
      </c>
      <c r="L18" s="7"/>
      <c r="M18" s="46" t="s">
        <v>47</v>
      </c>
      <c r="N18" s="40">
        <f>COUNTIF(F:H,"B")</f>
        <v>0</v>
      </c>
      <c r="P18" s="21" t="s">
        <v>30</v>
      </c>
      <c r="Q18" s="7"/>
      <c r="R18" s="7"/>
      <c r="S18" s="7"/>
      <c r="T18" s="7"/>
      <c r="U18" s="7"/>
      <c r="V18" s="22"/>
    </row>
    <row r="19" spans="2:22" ht="19.5" thickBot="1" x14ac:dyDescent="0.45">
      <c r="B19" s="34"/>
      <c r="C19" s="34"/>
      <c r="D19" s="8"/>
      <c r="E19" s="11"/>
      <c r="F19" s="34"/>
      <c r="G19" s="34"/>
      <c r="H19" s="34"/>
      <c r="J19" s="49"/>
      <c r="K19" s="48"/>
      <c r="M19" s="46"/>
      <c r="N19" s="40"/>
      <c r="P19" s="24" t="s">
        <v>31</v>
      </c>
      <c r="Q19" s="25"/>
      <c r="R19" s="25"/>
      <c r="S19" s="25"/>
      <c r="T19" s="25"/>
      <c r="U19" s="25"/>
      <c r="V19" s="26"/>
    </row>
    <row r="20" spans="2:22" x14ac:dyDescent="0.4">
      <c r="B20" s="34"/>
      <c r="C20" s="34"/>
      <c r="D20" s="8"/>
      <c r="E20" s="11"/>
      <c r="F20" s="34"/>
      <c r="G20" s="34"/>
      <c r="H20" s="34"/>
      <c r="J20" s="46" t="s">
        <v>35</v>
      </c>
      <c r="K20" s="48">
        <f>COUNTIF(B4:D316, "上タヌキ")</f>
        <v>0</v>
      </c>
      <c r="M20" s="45" t="s">
        <v>48</v>
      </c>
      <c r="N20" s="40">
        <f>COUNTIF(F:H,"X")</f>
        <v>1</v>
      </c>
    </row>
    <row r="21" spans="2:22" x14ac:dyDescent="0.4">
      <c r="B21" s="34"/>
      <c r="C21" s="34"/>
      <c r="D21" s="8"/>
      <c r="E21" s="11"/>
      <c r="F21" s="34"/>
      <c r="G21" s="34"/>
      <c r="H21" s="34"/>
      <c r="J21" s="46"/>
      <c r="K21" s="48"/>
      <c r="M21" s="45"/>
      <c r="N21" s="40"/>
    </row>
    <row r="22" spans="2:22" x14ac:dyDescent="0.4">
      <c r="B22" s="34"/>
      <c r="C22" s="34"/>
      <c r="D22" s="8"/>
      <c r="E22" s="11"/>
      <c r="F22" s="34"/>
      <c r="G22" s="34"/>
      <c r="H22" s="34"/>
      <c r="J22" s="45" t="s">
        <v>5</v>
      </c>
      <c r="K22" s="48">
        <f>COUNTIF(B4:D318, "デカタヌキ")</f>
        <v>3</v>
      </c>
      <c r="M22" s="43" t="s">
        <v>8</v>
      </c>
      <c r="N22" s="40">
        <f>COUNTIF(F:H, "Y")</f>
        <v>1</v>
      </c>
    </row>
    <row r="23" spans="2:22" ht="19.5" thickBot="1" x14ac:dyDescent="0.45">
      <c r="B23" s="34"/>
      <c r="C23" s="34"/>
      <c r="D23" s="8"/>
      <c r="E23" s="11"/>
      <c r="F23" s="34"/>
      <c r="G23" s="34"/>
      <c r="H23" s="34"/>
      <c r="J23" s="50"/>
      <c r="K23" s="54"/>
      <c r="M23" s="44"/>
      <c r="N23" s="41"/>
    </row>
    <row r="24" spans="2:22" x14ac:dyDescent="0.4">
      <c r="B24" s="34"/>
      <c r="C24" s="34"/>
      <c r="D24" s="8"/>
      <c r="E24" s="11"/>
      <c r="F24" s="34"/>
      <c r="G24" s="34"/>
      <c r="H24" s="34"/>
    </row>
    <row r="25" spans="2:22" x14ac:dyDescent="0.4">
      <c r="B25" s="34"/>
      <c r="C25" s="34"/>
      <c r="D25" s="8"/>
      <c r="E25" s="11"/>
      <c r="F25" s="34"/>
      <c r="G25" s="34"/>
      <c r="H25" s="34"/>
      <c r="J25" s="12">
        <f>K16*1</f>
        <v>0</v>
      </c>
    </row>
    <row r="26" spans="2:22" x14ac:dyDescent="0.4">
      <c r="B26" s="34"/>
      <c r="C26" s="34"/>
      <c r="D26" s="8"/>
      <c r="E26" s="11"/>
      <c r="F26" s="34"/>
      <c r="G26" s="34"/>
      <c r="H26" s="34"/>
      <c r="J26" s="12">
        <f>K18*3</f>
        <v>0</v>
      </c>
    </row>
    <row r="27" spans="2:22" x14ac:dyDescent="0.4">
      <c r="B27" s="34"/>
      <c r="C27" s="34"/>
      <c r="D27" s="8"/>
      <c r="E27" s="11"/>
      <c r="F27" s="34"/>
      <c r="G27" s="34"/>
      <c r="H27" s="34"/>
      <c r="J27" s="12">
        <f>K20*2</f>
        <v>0</v>
      </c>
      <c r="L27" s="12">
        <f>SUM(J25:J27)</f>
        <v>0</v>
      </c>
    </row>
    <row r="28" spans="2:22" x14ac:dyDescent="0.4">
      <c r="B28" s="34"/>
      <c r="C28" s="34"/>
      <c r="D28" s="8"/>
      <c r="E28" s="11"/>
      <c r="F28" s="34"/>
      <c r="G28" s="34"/>
      <c r="H28" s="34"/>
      <c r="J28" s="12">
        <f>4*6</f>
        <v>24</v>
      </c>
    </row>
    <row r="29" spans="2:22" x14ac:dyDescent="0.4">
      <c r="B29" s="34"/>
      <c r="C29" s="34"/>
      <c r="D29" s="8"/>
      <c r="E29" s="11"/>
      <c r="F29" s="34"/>
      <c r="G29" s="34"/>
      <c r="H29" s="34"/>
    </row>
    <row r="30" spans="2:22" x14ac:dyDescent="0.4">
      <c r="B30" s="34"/>
      <c r="C30" s="34"/>
      <c r="D30" s="8"/>
      <c r="E30" s="11"/>
      <c r="F30" s="34"/>
      <c r="G30" s="34"/>
      <c r="H30" s="34"/>
    </row>
    <row r="31" spans="2:22" x14ac:dyDescent="0.4">
      <c r="B31" s="34"/>
      <c r="C31" s="34"/>
      <c r="D31" s="8"/>
      <c r="E31" s="11"/>
      <c r="F31" s="34"/>
      <c r="G31" s="34"/>
      <c r="H31" s="34"/>
    </row>
    <row r="32" spans="2:22" x14ac:dyDescent="0.4">
      <c r="B32" s="34"/>
      <c r="C32" s="34"/>
      <c r="D32" s="8"/>
      <c r="E32" s="11"/>
      <c r="F32" s="34"/>
      <c r="G32" s="34"/>
      <c r="H32" s="34"/>
    </row>
    <row r="33" spans="2:8" x14ac:dyDescent="0.4">
      <c r="B33" s="34"/>
      <c r="C33" s="34"/>
      <c r="D33" s="8"/>
      <c r="E33" s="11"/>
      <c r="F33" s="34"/>
      <c r="G33" s="34"/>
      <c r="H33" s="34"/>
    </row>
    <row r="34" spans="2:8" x14ac:dyDescent="0.4">
      <c r="B34" s="34"/>
      <c r="C34" s="34"/>
      <c r="D34" s="8"/>
      <c r="E34" s="11"/>
      <c r="F34" s="34"/>
      <c r="G34" s="34"/>
      <c r="H34" s="34"/>
    </row>
    <row r="35" spans="2:8" x14ac:dyDescent="0.4">
      <c r="B35" s="34"/>
      <c r="C35" s="34"/>
      <c r="D35" s="8"/>
      <c r="E35" s="11"/>
      <c r="F35" s="34"/>
      <c r="G35" s="34"/>
      <c r="H35" s="34"/>
    </row>
    <row r="36" spans="2:8" x14ac:dyDescent="0.4">
      <c r="B36" s="34"/>
      <c r="C36" s="34"/>
      <c r="D36" s="8"/>
      <c r="E36" s="11"/>
      <c r="F36" s="34"/>
      <c r="G36" s="34"/>
      <c r="H36" s="34"/>
    </row>
    <row r="37" spans="2:8" x14ac:dyDescent="0.4">
      <c r="B37" s="34"/>
      <c r="C37" s="34"/>
      <c r="D37" s="34"/>
      <c r="E37" s="11"/>
      <c r="F37" s="34"/>
      <c r="G37" s="34"/>
      <c r="H37" s="34"/>
    </row>
    <row r="38" spans="2:8" x14ac:dyDescent="0.4">
      <c r="B38" s="34"/>
      <c r="C38" s="34"/>
      <c r="D38" s="8"/>
      <c r="E38" s="11"/>
      <c r="F38" s="34"/>
      <c r="G38" s="34"/>
      <c r="H38" s="34"/>
    </row>
    <row r="39" spans="2:8" x14ac:dyDescent="0.4">
      <c r="B39" s="34"/>
      <c r="C39" s="34"/>
      <c r="D39" s="8"/>
      <c r="E39" s="11"/>
      <c r="F39" s="34"/>
      <c r="G39" s="34"/>
      <c r="H39" s="34"/>
    </row>
    <row r="40" spans="2:8" x14ac:dyDescent="0.4">
      <c r="B40" s="34"/>
      <c r="C40" s="34"/>
      <c r="D40" s="34"/>
      <c r="E40" s="11"/>
      <c r="F40" s="34"/>
      <c r="G40" s="34"/>
      <c r="H40" s="34"/>
    </row>
    <row r="41" spans="2:8" x14ac:dyDescent="0.4">
      <c r="B41" s="34"/>
      <c r="C41" s="34"/>
      <c r="D41" s="34"/>
      <c r="E41" s="11"/>
      <c r="F41" s="34"/>
      <c r="G41" s="34"/>
      <c r="H41" s="34"/>
    </row>
    <row r="42" spans="2:8" x14ac:dyDescent="0.4">
      <c r="B42" s="34"/>
      <c r="C42" s="34"/>
      <c r="D42" s="8"/>
      <c r="E42" s="11"/>
      <c r="F42" s="34"/>
      <c r="G42" s="34"/>
      <c r="H42" s="34"/>
    </row>
    <row r="43" spans="2:8" x14ac:dyDescent="0.4">
      <c r="B43" s="34"/>
      <c r="C43" s="34"/>
      <c r="D43" s="34"/>
      <c r="E43" s="11"/>
      <c r="F43" s="34"/>
      <c r="G43" s="34"/>
      <c r="H43" s="34"/>
    </row>
    <row r="44" spans="2:8" x14ac:dyDescent="0.4">
      <c r="B44" s="34"/>
      <c r="C44" s="34"/>
      <c r="D44" s="34"/>
      <c r="E44" s="11"/>
      <c r="F44" s="34"/>
      <c r="G44" s="34"/>
      <c r="H44" s="34"/>
    </row>
    <row r="45" spans="2:8" x14ac:dyDescent="0.4">
      <c r="B45" s="34"/>
      <c r="C45" s="34"/>
      <c r="D45" s="8"/>
      <c r="E45" s="11"/>
      <c r="F45" s="34"/>
      <c r="G45" s="34"/>
      <c r="H45" s="34"/>
    </row>
    <row r="46" spans="2:8" x14ac:dyDescent="0.4">
      <c r="B46" s="8"/>
      <c r="C46" s="8"/>
      <c r="D46" s="8"/>
      <c r="E46" s="11"/>
      <c r="F46" s="8"/>
      <c r="G46" s="8"/>
      <c r="H46" s="8"/>
    </row>
    <row r="47" spans="2:8" x14ac:dyDescent="0.4">
      <c r="B47" s="34"/>
      <c r="C47" s="34"/>
      <c r="D47" s="34"/>
      <c r="E47" s="11"/>
      <c r="F47" s="34"/>
      <c r="G47" s="34"/>
      <c r="H47" s="34"/>
    </row>
    <row r="48" spans="2:8" x14ac:dyDescent="0.4">
      <c r="B48" s="34"/>
      <c r="C48" s="34"/>
      <c r="D48" s="8"/>
      <c r="E48" s="11"/>
      <c r="F48" s="34"/>
      <c r="G48" s="34"/>
      <c r="H48" s="34"/>
    </row>
    <row r="49" spans="2:8" x14ac:dyDescent="0.4">
      <c r="B49" s="34"/>
      <c r="C49" s="34"/>
      <c r="D49" s="34"/>
      <c r="E49" s="11"/>
      <c r="F49" s="34"/>
      <c r="G49" s="34"/>
      <c r="H49" s="34"/>
    </row>
    <row r="50" spans="2:8" x14ac:dyDescent="0.4">
      <c r="B50" s="34"/>
      <c r="C50" s="34"/>
      <c r="D50" s="34"/>
      <c r="E50" s="11"/>
      <c r="F50" s="34"/>
      <c r="G50" s="34"/>
      <c r="H50" s="34"/>
    </row>
    <row r="51" spans="2:8" x14ac:dyDescent="0.4">
      <c r="B51" s="34"/>
      <c r="C51" s="34"/>
      <c r="D51" s="8"/>
      <c r="E51" s="11"/>
      <c r="F51" s="34"/>
      <c r="G51" s="34"/>
      <c r="H51" s="34"/>
    </row>
    <row r="52" spans="2:8" x14ac:dyDescent="0.4">
      <c r="B52" s="34"/>
      <c r="C52" s="34"/>
      <c r="D52" s="34"/>
      <c r="E52" s="11"/>
      <c r="F52" s="34"/>
      <c r="G52" s="34"/>
      <c r="H52" s="34"/>
    </row>
    <row r="53" spans="2:8" x14ac:dyDescent="0.4">
      <c r="B53" s="34"/>
      <c r="C53" s="34"/>
      <c r="D53" s="34"/>
      <c r="E53" s="11"/>
      <c r="F53" s="34"/>
      <c r="G53" s="34"/>
      <c r="H53" s="34"/>
    </row>
    <row r="54" spans="2:8" x14ac:dyDescent="0.4">
      <c r="B54" s="34"/>
      <c r="C54" s="34"/>
      <c r="D54" s="34"/>
      <c r="E54" s="11"/>
      <c r="F54" s="34"/>
      <c r="G54" s="34"/>
      <c r="H54" s="34"/>
    </row>
    <row r="55" spans="2:8" x14ac:dyDescent="0.4">
      <c r="B55" s="34"/>
      <c r="C55" s="34"/>
      <c r="D55" s="34"/>
      <c r="E55" s="11"/>
      <c r="F55" s="34"/>
      <c r="G55" s="34"/>
      <c r="H55" s="34"/>
    </row>
    <row r="56" spans="2:8" x14ac:dyDescent="0.4">
      <c r="B56" s="34"/>
      <c r="C56" s="34"/>
      <c r="D56" s="34"/>
      <c r="E56" s="11"/>
      <c r="F56" s="34"/>
      <c r="G56" s="34"/>
      <c r="H56" s="34"/>
    </row>
    <row r="57" spans="2:8" x14ac:dyDescent="0.4">
      <c r="B57" s="34"/>
      <c r="C57" s="34"/>
      <c r="D57" s="34"/>
      <c r="E57" s="11"/>
      <c r="F57" s="34"/>
      <c r="G57" s="34"/>
      <c r="H57" s="34"/>
    </row>
    <row r="58" spans="2:8" x14ac:dyDescent="0.4">
      <c r="B58" s="34"/>
      <c r="C58" s="34"/>
      <c r="D58" s="34"/>
      <c r="E58" s="11"/>
      <c r="F58" s="34"/>
      <c r="G58" s="34"/>
      <c r="H58" s="34"/>
    </row>
    <row r="59" spans="2:8" x14ac:dyDescent="0.4">
      <c r="B59" s="34"/>
      <c r="C59" s="34"/>
      <c r="D59" s="34"/>
      <c r="E59" s="11"/>
      <c r="F59" s="34"/>
      <c r="G59" s="34"/>
      <c r="H59" s="34"/>
    </row>
    <row r="60" spans="2:8" x14ac:dyDescent="0.4">
      <c r="B60" s="34"/>
      <c r="C60" s="34"/>
      <c r="D60" s="34"/>
      <c r="E60" s="11"/>
      <c r="F60" s="34"/>
      <c r="G60" s="34"/>
      <c r="H60" s="34"/>
    </row>
    <row r="61" spans="2:8" x14ac:dyDescent="0.4">
      <c r="B61" s="34"/>
      <c r="C61" s="34"/>
      <c r="D61" s="34"/>
      <c r="E61" s="11"/>
      <c r="F61" s="34"/>
      <c r="G61" s="34"/>
      <c r="H61" s="34"/>
    </row>
    <row r="62" spans="2:8" x14ac:dyDescent="0.4">
      <c r="B62" s="34"/>
      <c r="C62" s="34"/>
      <c r="D62" s="34"/>
      <c r="E62" s="11"/>
      <c r="F62" s="34"/>
      <c r="G62" s="34"/>
      <c r="H62" s="34"/>
    </row>
    <row r="63" spans="2:8" x14ac:dyDescent="0.4">
      <c r="B63" s="34"/>
      <c r="C63" s="34"/>
      <c r="D63" s="34"/>
      <c r="E63" s="11"/>
      <c r="F63" s="34"/>
      <c r="G63" s="34"/>
      <c r="H63" s="34"/>
    </row>
    <row r="64" spans="2:8" x14ac:dyDescent="0.4">
      <c r="B64" s="34"/>
      <c r="C64" s="34"/>
      <c r="D64" s="34"/>
      <c r="E64" s="11"/>
      <c r="F64" s="34"/>
      <c r="G64" s="34"/>
      <c r="H64" s="34"/>
    </row>
    <row r="65" spans="2:8" x14ac:dyDescent="0.4">
      <c r="B65" s="34"/>
      <c r="C65" s="34"/>
      <c r="D65" s="34"/>
      <c r="E65" s="11"/>
      <c r="F65" s="34"/>
      <c r="G65" s="34"/>
      <c r="H65" s="34"/>
    </row>
    <row r="66" spans="2:8" x14ac:dyDescent="0.4">
      <c r="B66" s="34"/>
      <c r="C66" s="34"/>
      <c r="D66" s="34"/>
      <c r="E66" s="11"/>
      <c r="F66" s="34"/>
      <c r="G66" s="34"/>
      <c r="H66" s="34"/>
    </row>
    <row r="67" spans="2:8" x14ac:dyDescent="0.4">
      <c r="B67" s="34"/>
      <c r="C67" s="34"/>
      <c r="D67" s="34"/>
      <c r="E67" s="11"/>
      <c r="F67" s="34"/>
      <c r="G67" s="34"/>
      <c r="H67" s="34"/>
    </row>
    <row r="68" spans="2:8" x14ac:dyDescent="0.4">
      <c r="B68" s="34"/>
      <c r="C68" s="34"/>
      <c r="D68" s="34"/>
      <c r="E68" s="11"/>
      <c r="F68" s="34"/>
      <c r="G68" s="34"/>
      <c r="H68" s="34"/>
    </row>
    <row r="69" spans="2:8" x14ac:dyDescent="0.4">
      <c r="B69" s="34"/>
      <c r="C69" s="34"/>
      <c r="D69" s="34"/>
      <c r="E69" s="11"/>
      <c r="F69" s="34"/>
      <c r="G69" s="34"/>
      <c r="H69" s="34"/>
    </row>
    <row r="70" spans="2:8" x14ac:dyDescent="0.4">
      <c r="B70" s="34"/>
      <c r="C70" s="34"/>
      <c r="D70" s="34"/>
      <c r="E70" s="11"/>
      <c r="F70" s="34"/>
      <c r="G70" s="34"/>
      <c r="H70" s="34"/>
    </row>
    <row r="71" spans="2:8" x14ac:dyDescent="0.4">
      <c r="B71" s="34"/>
      <c r="C71" s="34"/>
      <c r="D71" s="34"/>
      <c r="E71" s="11"/>
      <c r="F71" s="34"/>
      <c r="G71" s="34"/>
      <c r="H71" s="34"/>
    </row>
    <row r="72" spans="2:8" x14ac:dyDescent="0.4">
      <c r="B72" s="34"/>
      <c r="C72" s="34"/>
      <c r="D72" s="34"/>
      <c r="E72" s="11"/>
      <c r="F72" s="34"/>
      <c r="G72" s="34"/>
      <c r="H72" s="34"/>
    </row>
    <row r="73" spans="2:8" x14ac:dyDescent="0.4">
      <c r="B73" s="34"/>
      <c r="C73" s="34"/>
      <c r="D73" s="34"/>
      <c r="E73" s="11"/>
      <c r="F73" s="34"/>
      <c r="G73" s="34"/>
      <c r="H73" s="34"/>
    </row>
    <row r="74" spans="2:8" x14ac:dyDescent="0.4">
      <c r="B74" s="34"/>
      <c r="C74" s="34"/>
      <c r="D74" s="34"/>
      <c r="E74" s="11"/>
      <c r="F74" s="34"/>
      <c r="G74" s="34"/>
      <c r="H74" s="34"/>
    </row>
    <row r="75" spans="2:8" x14ac:dyDescent="0.4">
      <c r="B75" s="34"/>
      <c r="C75" s="34"/>
      <c r="D75" s="34"/>
      <c r="E75" s="11"/>
      <c r="F75" s="34"/>
      <c r="G75" s="34"/>
      <c r="H75" s="34"/>
    </row>
    <row r="76" spans="2:8" x14ac:dyDescent="0.4">
      <c r="B76" s="34"/>
      <c r="C76" s="34"/>
      <c r="D76" s="34"/>
      <c r="E76" s="11"/>
      <c r="F76" s="34"/>
      <c r="G76" s="34"/>
      <c r="H76" s="34"/>
    </row>
    <row r="77" spans="2:8" x14ac:dyDescent="0.4">
      <c r="B77" s="34"/>
      <c r="C77" s="34"/>
      <c r="D77" s="34"/>
      <c r="E77" s="11"/>
      <c r="F77" s="34"/>
      <c r="G77" s="34"/>
      <c r="H77" s="34"/>
    </row>
    <row r="78" spans="2:8" x14ac:dyDescent="0.4">
      <c r="B78" s="34"/>
      <c r="C78" s="34"/>
      <c r="D78" s="34"/>
      <c r="E78" s="11"/>
      <c r="F78" s="34"/>
      <c r="G78" s="34"/>
      <c r="H78" s="34"/>
    </row>
    <row r="79" spans="2:8" x14ac:dyDescent="0.4">
      <c r="B79" s="34"/>
      <c r="C79" s="34"/>
      <c r="D79" s="34"/>
      <c r="E79" s="11"/>
      <c r="F79" s="34"/>
      <c r="G79" s="34"/>
      <c r="H79" s="34"/>
    </row>
    <row r="80" spans="2:8" x14ac:dyDescent="0.4">
      <c r="B80" s="34"/>
      <c r="C80" s="34"/>
      <c r="D80" s="34"/>
      <c r="E80" s="11"/>
      <c r="F80" s="34"/>
      <c r="G80" s="34"/>
      <c r="H80" s="34"/>
    </row>
    <row r="81" spans="2:8" x14ac:dyDescent="0.4">
      <c r="B81" s="34"/>
      <c r="C81" s="34"/>
      <c r="D81" s="34"/>
      <c r="E81" s="11"/>
      <c r="F81" s="34"/>
      <c r="G81" s="34"/>
      <c r="H81" s="34"/>
    </row>
    <row r="82" spans="2:8" x14ac:dyDescent="0.4">
      <c r="B82" s="34"/>
      <c r="C82" s="34"/>
      <c r="D82" s="34"/>
      <c r="E82" s="11"/>
      <c r="F82" s="34"/>
      <c r="G82" s="34"/>
      <c r="H82" s="34"/>
    </row>
    <row r="83" spans="2:8" x14ac:dyDescent="0.4">
      <c r="B83" s="34"/>
      <c r="C83" s="34"/>
      <c r="D83" s="34"/>
      <c r="E83" s="11"/>
      <c r="F83" s="34"/>
      <c r="G83" s="34"/>
      <c r="H83" s="34"/>
    </row>
    <row r="84" spans="2:8" x14ac:dyDescent="0.4">
      <c r="B84" s="34"/>
      <c r="C84" s="34"/>
      <c r="D84" s="34"/>
      <c r="E84" s="11"/>
      <c r="F84" s="34"/>
      <c r="G84" s="34"/>
      <c r="H84" s="34"/>
    </row>
    <row r="85" spans="2:8" x14ac:dyDescent="0.4">
      <c r="B85" s="34"/>
      <c r="C85" s="34"/>
      <c r="D85" s="34"/>
      <c r="E85" s="11"/>
      <c r="F85" s="34"/>
      <c r="G85" s="34"/>
      <c r="H85" s="34"/>
    </row>
    <row r="86" spans="2:8" x14ac:dyDescent="0.4">
      <c r="B86" s="34"/>
      <c r="C86" s="34"/>
      <c r="D86" s="34"/>
      <c r="E86" s="11"/>
      <c r="F86" s="34"/>
      <c r="G86" s="34"/>
      <c r="H86" s="34"/>
    </row>
    <row r="87" spans="2:8" x14ac:dyDescent="0.4">
      <c r="B87" s="34"/>
      <c r="C87" s="34"/>
      <c r="D87" s="34"/>
      <c r="E87" s="11"/>
      <c r="F87" s="34"/>
      <c r="G87" s="34"/>
      <c r="H87" s="34"/>
    </row>
    <row r="88" spans="2:8" x14ac:dyDescent="0.4">
      <c r="B88" s="34"/>
      <c r="C88" s="34"/>
      <c r="D88" s="34"/>
      <c r="E88" s="11"/>
      <c r="F88" s="34"/>
      <c r="G88" s="34"/>
      <c r="H88" s="34"/>
    </row>
    <row r="89" spans="2:8" x14ac:dyDescent="0.4">
      <c r="B89" s="34"/>
      <c r="C89" s="34"/>
      <c r="D89" s="34"/>
      <c r="E89" s="11"/>
      <c r="F89" s="34"/>
      <c r="G89" s="34"/>
      <c r="H89" s="34"/>
    </row>
    <row r="90" spans="2:8" x14ac:dyDescent="0.4">
      <c r="B90" s="34"/>
      <c r="C90" s="34"/>
      <c r="D90" s="34"/>
      <c r="E90" s="11"/>
      <c r="F90" s="34"/>
      <c r="G90" s="34"/>
      <c r="H90" s="34"/>
    </row>
    <row r="91" spans="2:8" x14ac:dyDescent="0.4">
      <c r="B91" s="34"/>
      <c r="C91" s="34"/>
      <c r="D91" s="34"/>
      <c r="E91" s="11"/>
      <c r="F91" s="34"/>
      <c r="G91" s="34"/>
      <c r="H91" s="34"/>
    </row>
    <row r="92" spans="2:8" x14ac:dyDescent="0.4">
      <c r="B92" s="7"/>
      <c r="C92" s="7"/>
      <c r="D92" s="7"/>
      <c r="F92" s="7"/>
      <c r="G92" s="7"/>
      <c r="H92" s="7"/>
    </row>
    <row r="93" spans="2:8" x14ac:dyDescent="0.4">
      <c r="B93" s="7"/>
      <c r="C93" s="7"/>
      <c r="D93" s="7"/>
      <c r="F93" s="7"/>
      <c r="G93" s="7"/>
      <c r="H93" s="7"/>
    </row>
    <row r="94" spans="2:8" x14ac:dyDescent="0.4">
      <c r="B94" s="7"/>
      <c r="C94" s="7"/>
      <c r="D94" s="7"/>
      <c r="F94" s="7"/>
      <c r="G94" s="7"/>
      <c r="H94" s="7"/>
    </row>
    <row r="95" spans="2:8" x14ac:dyDescent="0.4">
      <c r="B95" s="7"/>
      <c r="C95" s="7"/>
      <c r="D95" s="7"/>
      <c r="F95" s="7"/>
      <c r="G95" s="7"/>
      <c r="H95" s="7"/>
    </row>
    <row r="96" spans="2:8" x14ac:dyDescent="0.4">
      <c r="B96" s="7"/>
      <c r="C96" s="7"/>
      <c r="D96" s="7"/>
      <c r="F96" s="7"/>
      <c r="G96" s="7"/>
      <c r="H96" s="7"/>
    </row>
    <row r="97" spans="2:8" x14ac:dyDescent="0.4">
      <c r="B97" s="7"/>
      <c r="C97" s="7"/>
      <c r="D97" s="7"/>
      <c r="F97" s="7"/>
      <c r="G97" s="7"/>
      <c r="H97" s="7"/>
    </row>
    <row r="98" spans="2:8" x14ac:dyDescent="0.4">
      <c r="B98" s="7"/>
      <c r="C98" s="7"/>
      <c r="D98" s="7"/>
      <c r="F98" s="7"/>
      <c r="G98" s="7"/>
      <c r="H98" s="7"/>
    </row>
    <row r="99" spans="2:8" x14ac:dyDescent="0.4">
      <c r="B99" s="7"/>
      <c r="C99" s="7"/>
      <c r="D99" s="7"/>
      <c r="F99" s="7"/>
      <c r="G99" s="7"/>
      <c r="H99" s="7"/>
    </row>
    <row r="100" spans="2:8" x14ac:dyDescent="0.4">
      <c r="B100" s="7"/>
      <c r="C100" s="7"/>
      <c r="D100" s="7"/>
      <c r="F100" s="7"/>
      <c r="G100" s="7"/>
      <c r="H100" s="7"/>
    </row>
    <row r="101" spans="2:8" x14ac:dyDescent="0.4">
      <c r="B101" s="7"/>
      <c r="C101" s="7"/>
      <c r="D101" s="7"/>
      <c r="F101" s="7"/>
      <c r="G101" s="7"/>
      <c r="H101" s="7"/>
    </row>
    <row r="102" spans="2:8" x14ac:dyDescent="0.4">
      <c r="B102" s="7"/>
      <c r="C102" s="7"/>
      <c r="D102" s="7"/>
      <c r="F102" s="7"/>
      <c r="G102" s="7"/>
      <c r="H102" s="7"/>
    </row>
    <row r="103" spans="2:8" x14ac:dyDescent="0.4">
      <c r="B103" s="7"/>
      <c r="C103" s="7"/>
      <c r="D103" s="7"/>
      <c r="F103" s="7"/>
      <c r="G103" s="7"/>
      <c r="H103" s="7"/>
    </row>
    <row r="104" spans="2:8" x14ac:dyDescent="0.4">
      <c r="B104" s="7"/>
      <c r="C104" s="7"/>
      <c r="D104" s="7"/>
      <c r="F104" s="7"/>
      <c r="G104" s="7"/>
      <c r="H104" s="7"/>
    </row>
    <row r="105" spans="2:8" x14ac:dyDescent="0.4">
      <c r="B105" s="7"/>
      <c r="C105" s="7"/>
      <c r="D105" s="7"/>
      <c r="F105" s="7"/>
      <c r="G105" s="7"/>
      <c r="H105" s="7"/>
    </row>
    <row r="106" spans="2:8" x14ac:dyDescent="0.4">
      <c r="B106" s="7"/>
      <c r="C106" s="7"/>
      <c r="D106" s="7"/>
      <c r="F106" s="7"/>
      <c r="G106" s="7"/>
      <c r="H106" s="7"/>
    </row>
    <row r="107" spans="2:8" x14ac:dyDescent="0.4">
      <c r="B107" s="7"/>
      <c r="C107" s="7"/>
      <c r="D107" s="7"/>
      <c r="F107" s="7"/>
      <c r="G107" s="7"/>
      <c r="H107" s="7"/>
    </row>
    <row r="108" spans="2:8" x14ac:dyDescent="0.4">
      <c r="B108" s="7"/>
      <c r="C108" s="7"/>
      <c r="D108" s="7"/>
      <c r="F108" s="7"/>
      <c r="G108" s="7"/>
      <c r="H108" s="7"/>
    </row>
    <row r="109" spans="2:8" x14ac:dyDescent="0.4">
      <c r="B109" s="7"/>
      <c r="C109" s="7"/>
      <c r="D109" s="7"/>
      <c r="F109" s="7"/>
      <c r="G109" s="7"/>
      <c r="H109" s="7"/>
    </row>
    <row r="110" spans="2:8" x14ac:dyDescent="0.4">
      <c r="B110" s="7"/>
      <c r="C110" s="7"/>
      <c r="D110" s="7"/>
      <c r="F110" s="7"/>
      <c r="G110" s="7"/>
      <c r="H110" s="7"/>
    </row>
    <row r="111" spans="2:8" x14ac:dyDescent="0.4">
      <c r="B111" s="7"/>
      <c r="C111" s="7"/>
      <c r="D111" s="7"/>
      <c r="F111" s="7"/>
      <c r="G111" s="7"/>
      <c r="H111" s="7"/>
    </row>
    <row r="112" spans="2:8" x14ac:dyDescent="0.4">
      <c r="B112" s="7"/>
      <c r="C112" s="7"/>
      <c r="D112" s="7"/>
      <c r="F112" s="7"/>
      <c r="G112" s="7"/>
      <c r="H112" s="7"/>
    </row>
    <row r="113" spans="2:8" x14ac:dyDescent="0.4">
      <c r="B113" s="7"/>
      <c r="C113" s="7"/>
      <c r="D113" s="7"/>
      <c r="F113" s="7"/>
      <c r="G113" s="7"/>
      <c r="H113" s="7"/>
    </row>
    <row r="114" spans="2:8" x14ac:dyDescent="0.4">
      <c r="B114" s="7"/>
      <c r="C114" s="7"/>
      <c r="D114" s="7"/>
      <c r="F114" s="7"/>
      <c r="G114" s="7"/>
      <c r="H114" s="7"/>
    </row>
    <row r="115" spans="2:8" x14ac:dyDescent="0.4">
      <c r="B115" s="7"/>
      <c r="C115" s="7"/>
      <c r="D115" s="7"/>
      <c r="F115" s="7"/>
      <c r="G115" s="7"/>
      <c r="H115" s="7"/>
    </row>
    <row r="116" spans="2:8" x14ac:dyDescent="0.4">
      <c r="B116" s="7"/>
      <c r="C116" s="7"/>
      <c r="D116" s="7"/>
      <c r="F116" s="7"/>
      <c r="G116" s="7"/>
      <c r="H116" s="7"/>
    </row>
    <row r="117" spans="2:8" x14ac:dyDescent="0.4">
      <c r="B117" s="7"/>
      <c r="C117" s="7"/>
      <c r="D117" s="7"/>
      <c r="F117" s="7"/>
      <c r="G117" s="7"/>
      <c r="H117" s="7"/>
    </row>
    <row r="118" spans="2:8" x14ac:dyDescent="0.4">
      <c r="B118" s="7"/>
      <c r="C118" s="7"/>
      <c r="D118" s="7"/>
      <c r="F118" s="7"/>
      <c r="G118" s="7"/>
      <c r="H118" s="7"/>
    </row>
    <row r="119" spans="2:8" x14ac:dyDescent="0.4">
      <c r="B119" s="7"/>
      <c r="C119" s="7"/>
      <c r="D119" s="7"/>
      <c r="F119" s="7"/>
      <c r="G119" s="7"/>
      <c r="H119" s="7"/>
    </row>
    <row r="120" spans="2:8" x14ac:dyDescent="0.4">
      <c r="B120" s="7"/>
      <c r="C120" s="7"/>
      <c r="D120" s="7"/>
      <c r="F120" s="7"/>
      <c r="G120" s="7"/>
      <c r="H120" s="7"/>
    </row>
    <row r="121" spans="2:8" x14ac:dyDescent="0.4">
      <c r="B121" s="7"/>
      <c r="C121" s="7"/>
      <c r="D121" s="7"/>
      <c r="F121" s="7"/>
      <c r="G121" s="7"/>
      <c r="H121" s="7"/>
    </row>
    <row r="122" spans="2:8" x14ac:dyDescent="0.4">
      <c r="B122" s="7"/>
      <c r="C122" s="7"/>
      <c r="D122" s="7"/>
      <c r="F122" s="7"/>
      <c r="G122" s="7"/>
      <c r="H122" s="7"/>
    </row>
    <row r="123" spans="2:8" x14ac:dyDescent="0.4">
      <c r="B123" s="7"/>
      <c r="C123" s="7"/>
      <c r="D123" s="7"/>
      <c r="F123" s="7"/>
      <c r="G123" s="7"/>
      <c r="H123" s="7"/>
    </row>
    <row r="124" spans="2:8" x14ac:dyDescent="0.4">
      <c r="B124" s="7"/>
      <c r="C124" s="7"/>
      <c r="D124" s="7"/>
      <c r="F124" s="7"/>
      <c r="G124" s="7"/>
      <c r="H124" s="7"/>
    </row>
    <row r="125" spans="2:8" x14ac:dyDescent="0.4">
      <c r="B125" s="7"/>
      <c r="C125" s="7"/>
      <c r="D125" s="7"/>
      <c r="F125" s="7"/>
      <c r="G125" s="7"/>
      <c r="H125" s="7"/>
    </row>
    <row r="126" spans="2:8" x14ac:dyDescent="0.4">
      <c r="B126" s="7"/>
      <c r="C126" s="7"/>
      <c r="D126" s="7"/>
      <c r="F126" s="7"/>
      <c r="G126" s="7"/>
      <c r="H126" s="7"/>
    </row>
    <row r="127" spans="2:8" x14ac:dyDescent="0.4">
      <c r="B127" s="7"/>
      <c r="C127" s="7"/>
      <c r="D127" s="7"/>
      <c r="F127" s="7"/>
      <c r="G127" s="7"/>
      <c r="H127" s="7"/>
    </row>
    <row r="128" spans="2:8" x14ac:dyDescent="0.4">
      <c r="B128" s="7"/>
      <c r="C128" s="7"/>
      <c r="D128" s="7"/>
      <c r="F128" s="7"/>
      <c r="G128" s="7"/>
      <c r="H128" s="7"/>
    </row>
    <row r="129" spans="2:8" x14ac:dyDescent="0.4">
      <c r="B129" s="7"/>
      <c r="C129" s="7"/>
      <c r="D129" s="7"/>
      <c r="F129" s="7"/>
      <c r="G129" s="7"/>
      <c r="H129" s="7"/>
    </row>
    <row r="130" spans="2:8" x14ac:dyDescent="0.4">
      <c r="B130" s="7"/>
      <c r="C130" s="7"/>
      <c r="D130" s="7"/>
      <c r="F130" s="7"/>
      <c r="G130" s="7"/>
      <c r="H130" s="7"/>
    </row>
    <row r="131" spans="2:8" x14ac:dyDescent="0.4">
      <c r="B131" s="7"/>
      <c r="C131" s="7"/>
      <c r="D131" s="7"/>
      <c r="F131" s="7"/>
      <c r="G131" s="7"/>
      <c r="H131" s="7"/>
    </row>
    <row r="132" spans="2:8" x14ac:dyDescent="0.4">
      <c r="B132" s="7"/>
      <c r="C132" s="7"/>
      <c r="D132" s="7"/>
      <c r="F132" s="7"/>
      <c r="G132" s="7"/>
      <c r="H132" s="7"/>
    </row>
    <row r="133" spans="2:8" x14ac:dyDescent="0.4">
      <c r="B133" s="7"/>
      <c r="C133" s="7"/>
      <c r="D133" s="7"/>
      <c r="F133" s="7"/>
      <c r="G133" s="7"/>
      <c r="H133" s="7"/>
    </row>
    <row r="134" spans="2:8" x14ac:dyDescent="0.4">
      <c r="B134" s="7"/>
      <c r="C134" s="7"/>
      <c r="D134" s="7"/>
      <c r="F134" s="7"/>
      <c r="G134" s="7"/>
      <c r="H134" s="7"/>
    </row>
    <row r="135" spans="2:8" x14ac:dyDescent="0.4">
      <c r="B135" s="7"/>
      <c r="C135" s="7"/>
      <c r="D135" s="7"/>
      <c r="F135" s="7"/>
      <c r="G135" s="7"/>
      <c r="H135" s="7"/>
    </row>
    <row r="136" spans="2:8" x14ac:dyDescent="0.4">
      <c r="B136" s="7"/>
      <c r="C136" s="7"/>
      <c r="D136" s="7"/>
      <c r="F136" s="7"/>
      <c r="G136" s="7"/>
      <c r="H136" s="7"/>
    </row>
    <row r="137" spans="2:8" x14ac:dyDescent="0.4">
      <c r="B137" s="7"/>
      <c r="C137" s="7"/>
      <c r="D137" s="7"/>
      <c r="F137" s="7"/>
      <c r="G137" s="7"/>
      <c r="H137" s="7"/>
    </row>
    <row r="138" spans="2:8" x14ac:dyDescent="0.4">
      <c r="B138" s="7"/>
      <c r="C138" s="7"/>
      <c r="D138" s="7"/>
      <c r="F138" s="7"/>
      <c r="G138" s="7"/>
      <c r="H138" s="7"/>
    </row>
    <row r="139" spans="2:8" x14ac:dyDescent="0.4">
      <c r="B139" s="7"/>
      <c r="C139" s="7"/>
      <c r="D139" s="7"/>
      <c r="F139" s="7"/>
      <c r="G139" s="7"/>
      <c r="H139" s="7"/>
    </row>
    <row r="140" spans="2:8" x14ac:dyDescent="0.4">
      <c r="B140" s="7"/>
      <c r="C140" s="7"/>
      <c r="D140" s="7"/>
      <c r="F140" s="7"/>
      <c r="G140" s="7"/>
      <c r="H140" s="7"/>
    </row>
    <row r="141" spans="2:8" x14ac:dyDescent="0.4">
      <c r="B141" s="7"/>
      <c r="C141" s="7"/>
      <c r="D141" s="7"/>
      <c r="F141" s="7"/>
      <c r="G141" s="7"/>
      <c r="H141" s="7"/>
    </row>
    <row r="142" spans="2:8" x14ac:dyDescent="0.4">
      <c r="B142" s="7"/>
      <c r="C142" s="7"/>
      <c r="D142" s="7"/>
      <c r="F142" s="7"/>
      <c r="G142" s="7"/>
      <c r="H142" s="7"/>
    </row>
    <row r="143" spans="2:8" x14ac:dyDescent="0.4">
      <c r="B143" s="7"/>
      <c r="C143" s="7"/>
      <c r="D143" s="7"/>
      <c r="F143" s="7"/>
      <c r="G143" s="7"/>
      <c r="H143" s="7"/>
    </row>
    <row r="144" spans="2:8" x14ac:dyDescent="0.4">
      <c r="B144" s="7"/>
      <c r="C144" s="7"/>
      <c r="D144" s="7"/>
      <c r="F144" s="7"/>
      <c r="G144" s="7"/>
      <c r="H144" s="7"/>
    </row>
    <row r="145" spans="2:8" x14ac:dyDescent="0.4">
      <c r="B145" s="7"/>
      <c r="C145" s="7"/>
      <c r="D145" s="7"/>
      <c r="F145" s="7"/>
      <c r="G145" s="7"/>
      <c r="H145" s="7"/>
    </row>
    <row r="146" spans="2:8" x14ac:dyDescent="0.4">
      <c r="B146" s="7"/>
      <c r="C146" s="7"/>
      <c r="D146" s="7"/>
      <c r="F146" s="7"/>
      <c r="G146" s="7"/>
      <c r="H146" s="7"/>
    </row>
    <row r="147" spans="2:8" x14ac:dyDescent="0.4">
      <c r="B147" s="7"/>
      <c r="C147" s="7"/>
      <c r="D147" s="7"/>
      <c r="F147" s="7"/>
      <c r="G147" s="7"/>
      <c r="H147" s="7"/>
    </row>
    <row r="148" spans="2:8" x14ac:dyDescent="0.4">
      <c r="B148" s="7"/>
      <c r="C148" s="7"/>
      <c r="D148" s="7"/>
      <c r="F148" s="7"/>
      <c r="G148" s="7"/>
      <c r="H148" s="7"/>
    </row>
    <row r="149" spans="2:8" x14ac:dyDescent="0.4">
      <c r="B149" s="7"/>
      <c r="C149" s="7"/>
      <c r="D149" s="7"/>
      <c r="F149" s="7"/>
      <c r="G149" s="7"/>
      <c r="H149" s="7"/>
    </row>
    <row r="150" spans="2:8" x14ac:dyDescent="0.4">
      <c r="B150" s="7"/>
      <c r="C150" s="7"/>
      <c r="D150" s="7"/>
      <c r="F150" s="7"/>
      <c r="G150" s="7"/>
      <c r="H150" s="7"/>
    </row>
    <row r="151" spans="2:8" x14ac:dyDescent="0.4">
      <c r="B151" s="7"/>
      <c r="C151" s="7"/>
      <c r="D151" s="7"/>
      <c r="F151" s="7"/>
      <c r="G151" s="7"/>
      <c r="H151" s="7"/>
    </row>
    <row r="152" spans="2:8" x14ac:dyDescent="0.4">
      <c r="B152" s="7"/>
      <c r="C152" s="7"/>
      <c r="D152" s="7"/>
      <c r="F152" s="7"/>
      <c r="G152" s="7"/>
      <c r="H152" s="7"/>
    </row>
    <row r="153" spans="2:8" x14ac:dyDescent="0.4">
      <c r="B153" s="7"/>
      <c r="C153" s="7"/>
      <c r="D153" s="7"/>
      <c r="F153" s="7"/>
      <c r="G153" s="7"/>
      <c r="H153" s="7"/>
    </row>
    <row r="154" spans="2:8" x14ac:dyDescent="0.4">
      <c r="B154" s="7"/>
      <c r="C154" s="7"/>
      <c r="D154" s="7"/>
      <c r="F154" s="7"/>
      <c r="G154" s="7"/>
      <c r="H154" s="7"/>
    </row>
    <row r="155" spans="2:8" x14ac:dyDescent="0.4">
      <c r="B155" s="7"/>
      <c r="C155" s="7"/>
      <c r="D155" s="7"/>
      <c r="F155" s="7"/>
      <c r="G155" s="7"/>
      <c r="H155" s="7"/>
    </row>
    <row r="156" spans="2:8" x14ac:dyDescent="0.4">
      <c r="B156" s="7"/>
      <c r="C156" s="7"/>
      <c r="D156" s="7"/>
      <c r="F156" s="7"/>
      <c r="G156" s="7"/>
      <c r="H156" s="7"/>
    </row>
    <row r="157" spans="2:8" x14ac:dyDescent="0.4">
      <c r="B157" s="7"/>
      <c r="C157" s="7"/>
      <c r="D157" s="7"/>
      <c r="F157" s="7"/>
      <c r="G157" s="7"/>
      <c r="H157" s="7"/>
    </row>
    <row r="158" spans="2:8" x14ac:dyDescent="0.4">
      <c r="B158" s="7"/>
      <c r="C158" s="7"/>
      <c r="D158" s="7"/>
      <c r="F158" s="7"/>
      <c r="G158" s="7"/>
      <c r="H158" s="7"/>
    </row>
    <row r="159" spans="2:8" x14ac:dyDescent="0.4">
      <c r="B159" s="7"/>
      <c r="C159" s="7"/>
      <c r="D159" s="7"/>
      <c r="F159" s="7"/>
      <c r="G159" s="7"/>
      <c r="H159" s="7"/>
    </row>
    <row r="160" spans="2:8" x14ac:dyDescent="0.4">
      <c r="B160" s="7"/>
      <c r="C160" s="7"/>
      <c r="D160" s="7"/>
      <c r="F160" s="7"/>
      <c r="G160" s="7"/>
      <c r="H160" s="7"/>
    </row>
    <row r="161" spans="2:8" x14ac:dyDescent="0.4">
      <c r="B161" s="7"/>
      <c r="C161" s="7"/>
      <c r="D161" s="7"/>
      <c r="F161" s="7"/>
      <c r="G161" s="7"/>
      <c r="H161" s="7"/>
    </row>
    <row r="162" spans="2:8" x14ac:dyDescent="0.4">
      <c r="B162" s="7"/>
      <c r="C162" s="7"/>
      <c r="D162" s="7"/>
      <c r="F162" s="7"/>
      <c r="G162" s="7"/>
      <c r="H162" s="7"/>
    </row>
    <row r="163" spans="2:8" x14ac:dyDescent="0.4">
      <c r="B163" s="7"/>
      <c r="C163" s="7"/>
      <c r="D163" s="7"/>
      <c r="F163" s="7"/>
      <c r="G163" s="7"/>
      <c r="H163" s="7"/>
    </row>
    <row r="164" spans="2:8" x14ac:dyDescent="0.4">
      <c r="B164" s="7"/>
      <c r="C164" s="7"/>
      <c r="D164" s="7"/>
      <c r="F164" s="7"/>
      <c r="G164" s="7"/>
      <c r="H164" s="7"/>
    </row>
    <row r="165" spans="2:8" x14ac:dyDescent="0.4">
      <c r="B165" s="7"/>
      <c r="C165" s="7"/>
      <c r="D165" s="7"/>
      <c r="F165" s="7"/>
      <c r="G165" s="7"/>
      <c r="H165" s="7"/>
    </row>
    <row r="166" spans="2:8" x14ac:dyDescent="0.4">
      <c r="B166" s="7"/>
      <c r="C166" s="7"/>
      <c r="D166" s="7"/>
      <c r="F166" s="7"/>
      <c r="G166" s="7"/>
      <c r="H166" s="7"/>
    </row>
    <row r="167" spans="2:8" x14ac:dyDescent="0.4">
      <c r="B167" s="7"/>
      <c r="C167" s="7"/>
      <c r="D167" s="7"/>
      <c r="F167" s="7"/>
      <c r="G167" s="7"/>
      <c r="H167" s="7"/>
    </row>
    <row r="168" spans="2:8" x14ac:dyDescent="0.4">
      <c r="B168" s="7"/>
      <c r="C168" s="7"/>
      <c r="D168" s="7"/>
      <c r="F168" s="7"/>
      <c r="G168" s="7"/>
      <c r="H168" s="7"/>
    </row>
    <row r="169" spans="2:8" x14ac:dyDescent="0.4">
      <c r="B169" s="7"/>
      <c r="C169" s="7"/>
      <c r="D169" s="7"/>
      <c r="F169" s="7"/>
      <c r="G169" s="7"/>
      <c r="H169" s="7"/>
    </row>
    <row r="170" spans="2:8" x14ac:dyDescent="0.4">
      <c r="B170" s="7"/>
      <c r="C170" s="7"/>
      <c r="D170" s="7"/>
      <c r="F170" s="7"/>
      <c r="G170" s="7"/>
      <c r="H170" s="7"/>
    </row>
    <row r="171" spans="2:8" x14ac:dyDescent="0.4">
      <c r="B171" s="7"/>
      <c r="C171" s="7"/>
      <c r="D171" s="7"/>
      <c r="F171" s="7"/>
      <c r="G171" s="7"/>
      <c r="H171" s="7"/>
    </row>
    <row r="172" spans="2:8" x14ac:dyDescent="0.4">
      <c r="B172" s="7"/>
      <c r="C172" s="7"/>
      <c r="D172" s="7"/>
      <c r="F172" s="7"/>
      <c r="G172" s="7"/>
      <c r="H172" s="7"/>
    </row>
    <row r="173" spans="2:8" x14ac:dyDescent="0.4">
      <c r="B173" s="7"/>
      <c r="C173" s="7"/>
      <c r="D173" s="7"/>
      <c r="F173" s="7"/>
      <c r="G173" s="7"/>
      <c r="H173" s="7"/>
    </row>
    <row r="174" spans="2:8" x14ac:dyDescent="0.4">
      <c r="B174" s="7"/>
      <c r="C174" s="7"/>
      <c r="D174" s="7"/>
      <c r="F174" s="7"/>
      <c r="G174" s="7"/>
      <c r="H174" s="7"/>
    </row>
    <row r="175" spans="2:8" x14ac:dyDescent="0.4">
      <c r="B175" s="7"/>
      <c r="C175" s="7"/>
      <c r="D175" s="7"/>
      <c r="F175" s="7"/>
      <c r="G175" s="7"/>
      <c r="H175" s="7"/>
    </row>
    <row r="176" spans="2:8" x14ac:dyDescent="0.4">
      <c r="B176" s="7"/>
      <c r="C176" s="7"/>
      <c r="D176" s="7"/>
      <c r="F176" s="7"/>
      <c r="G176" s="7"/>
      <c r="H176" s="7"/>
    </row>
    <row r="177" spans="2:8" x14ac:dyDescent="0.4">
      <c r="B177" s="7"/>
      <c r="C177" s="7"/>
      <c r="D177" s="7"/>
      <c r="F177" s="7"/>
      <c r="G177" s="7"/>
      <c r="H177" s="7"/>
    </row>
    <row r="178" spans="2:8" x14ac:dyDescent="0.4">
      <c r="B178" s="7"/>
      <c r="C178" s="7"/>
      <c r="D178" s="7"/>
      <c r="F178" s="7"/>
      <c r="G178" s="7"/>
      <c r="H178" s="7"/>
    </row>
    <row r="179" spans="2:8" x14ac:dyDescent="0.4">
      <c r="B179" s="7"/>
      <c r="C179" s="7"/>
      <c r="D179" s="7"/>
      <c r="F179" s="7"/>
      <c r="G179" s="7"/>
      <c r="H179" s="7"/>
    </row>
    <row r="180" spans="2:8" x14ac:dyDescent="0.4">
      <c r="B180" s="7"/>
      <c r="C180" s="7"/>
      <c r="D180" s="7"/>
      <c r="F180" s="7"/>
      <c r="G180" s="7"/>
      <c r="H180" s="7"/>
    </row>
    <row r="181" spans="2:8" x14ac:dyDescent="0.4">
      <c r="B181" s="7"/>
      <c r="C181" s="7"/>
      <c r="D181" s="7"/>
      <c r="F181" s="7"/>
      <c r="G181" s="7"/>
      <c r="H181" s="7"/>
    </row>
    <row r="182" spans="2:8" x14ac:dyDescent="0.4">
      <c r="B182" s="7"/>
      <c r="C182" s="7"/>
      <c r="D182" s="7"/>
      <c r="F182" s="7"/>
      <c r="G182" s="7"/>
      <c r="H182" s="7"/>
    </row>
    <row r="183" spans="2:8" x14ac:dyDescent="0.4">
      <c r="B183" s="7"/>
      <c r="C183" s="7"/>
      <c r="D183" s="7"/>
      <c r="F183" s="7"/>
      <c r="G183" s="7"/>
      <c r="H183" s="7"/>
    </row>
    <row r="184" spans="2:8" x14ac:dyDescent="0.4">
      <c r="B184" s="7"/>
      <c r="C184" s="7"/>
      <c r="D184" s="7"/>
      <c r="F184" s="7"/>
      <c r="G184" s="7"/>
      <c r="H184" s="7"/>
    </row>
    <row r="185" spans="2:8" x14ac:dyDescent="0.4">
      <c r="B185" s="7"/>
      <c r="C185" s="7"/>
      <c r="D185" s="7"/>
      <c r="F185" s="7"/>
      <c r="G185" s="7"/>
      <c r="H185" s="7"/>
    </row>
    <row r="186" spans="2:8" x14ac:dyDescent="0.4">
      <c r="B186" s="7"/>
      <c r="C186" s="7"/>
      <c r="D186" s="7"/>
      <c r="F186" s="7"/>
      <c r="G186" s="7"/>
      <c r="H186" s="7"/>
    </row>
    <row r="187" spans="2:8" x14ac:dyDescent="0.4">
      <c r="B187" s="7"/>
      <c r="C187" s="7"/>
      <c r="D187" s="7"/>
      <c r="F187" s="7"/>
      <c r="G187" s="7"/>
      <c r="H187" s="7"/>
    </row>
    <row r="188" spans="2:8" x14ac:dyDescent="0.4">
      <c r="B188" s="7"/>
      <c r="C188" s="7"/>
      <c r="D188" s="7"/>
      <c r="F188" s="7"/>
      <c r="G188" s="7"/>
      <c r="H188" s="7"/>
    </row>
    <row r="189" spans="2:8" x14ac:dyDescent="0.4">
      <c r="B189" s="7"/>
      <c r="C189" s="7"/>
      <c r="D189" s="7"/>
      <c r="F189" s="7"/>
      <c r="G189" s="7"/>
      <c r="H189" s="7"/>
    </row>
    <row r="190" spans="2:8" x14ac:dyDescent="0.4">
      <c r="B190" s="7"/>
      <c r="C190" s="7"/>
      <c r="D190" s="7"/>
      <c r="F190" s="7"/>
      <c r="G190" s="7"/>
      <c r="H190" s="7"/>
    </row>
    <row r="191" spans="2:8" x14ac:dyDescent="0.4">
      <c r="B191" s="7"/>
      <c r="C191" s="7"/>
      <c r="D191" s="7"/>
      <c r="F191" s="7"/>
      <c r="G191" s="7"/>
      <c r="H191" s="7"/>
    </row>
    <row r="192" spans="2:8" x14ac:dyDescent="0.4">
      <c r="B192" s="7"/>
      <c r="C192" s="7"/>
      <c r="D192" s="7"/>
      <c r="F192" s="7"/>
      <c r="G192" s="7"/>
      <c r="H192" s="7"/>
    </row>
    <row r="193" spans="2:8" x14ac:dyDescent="0.4">
      <c r="B193" s="7"/>
      <c r="C193" s="7"/>
      <c r="D193" s="7"/>
      <c r="F193" s="7"/>
      <c r="G193" s="7"/>
      <c r="H193" s="7"/>
    </row>
    <row r="194" spans="2:8" x14ac:dyDescent="0.4">
      <c r="B194" s="7"/>
      <c r="C194" s="7"/>
      <c r="D194" s="7"/>
      <c r="F194" s="7"/>
      <c r="G194" s="7"/>
      <c r="H194" s="7"/>
    </row>
    <row r="195" spans="2:8" x14ac:dyDescent="0.4">
      <c r="B195" s="7"/>
      <c r="C195" s="7"/>
      <c r="D195" s="7"/>
      <c r="F195" s="7"/>
      <c r="G195" s="7"/>
      <c r="H195" s="7"/>
    </row>
    <row r="196" spans="2:8" x14ac:dyDescent="0.4">
      <c r="B196" s="7"/>
      <c r="C196" s="7"/>
      <c r="D196" s="7"/>
      <c r="F196" s="7"/>
      <c r="G196" s="7"/>
      <c r="H196" s="7"/>
    </row>
    <row r="197" spans="2:8" x14ac:dyDescent="0.4">
      <c r="B197" s="7"/>
      <c r="C197" s="7"/>
      <c r="D197" s="7"/>
      <c r="F197" s="7"/>
      <c r="G197" s="7"/>
      <c r="H197" s="7"/>
    </row>
    <row r="198" spans="2:8" x14ac:dyDescent="0.4">
      <c r="B198" s="7"/>
      <c r="C198" s="7"/>
      <c r="D198" s="7"/>
      <c r="F198" s="7"/>
      <c r="G198" s="7"/>
      <c r="H198" s="7"/>
    </row>
    <row r="199" spans="2:8" x14ac:dyDescent="0.4">
      <c r="B199" s="7"/>
      <c r="C199" s="7"/>
      <c r="D199" s="7"/>
      <c r="F199" s="7"/>
      <c r="G199" s="7"/>
      <c r="H199" s="7"/>
    </row>
    <row r="200" spans="2:8" x14ac:dyDescent="0.4">
      <c r="B200" s="7"/>
      <c r="C200" s="7"/>
      <c r="D200" s="7"/>
      <c r="F200" s="7"/>
      <c r="G200" s="7"/>
      <c r="H200" s="7"/>
    </row>
    <row r="201" spans="2:8" x14ac:dyDescent="0.4">
      <c r="B201" s="7"/>
      <c r="C201" s="7"/>
      <c r="D201" s="7"/>
      <c r="F201" s="7"/>
      <c r="G201" s="7"/>
      <c r="H201" s="7"/>
    </row>
    <row r="202" spans="2:8" x14ac:dyDescent="0.4">
      <c r="B202" s="7"/>
      <c r="C202" s="7"/>
      <c r="D202" s="7"/>
      <c r="F202" s="7"/>
      <c r="G202" s="7"/>
      <c r="H202" s="7"/>
    </row>
    <row r="203" spans="2:8" x14ac:dyDescent="0.4">
      <c r="B203" s="7"/>
      <c r="C203" s="7"/>
      <c r="D203" s="7"/>
      <c r="F203" s="7"/>
      <c r="G203" s="7"/>
      <c r="H203" s="7"/>
    </row>
    <row r="204" spans="2:8" x14ac:dyDescent="0.4">
      <c r="B204" s="7"/>
      <c r="C204" s="7"/>
      <c r="D204" s="7"/>
      <c r="F204" s="7"/>
      <c r="G204" s="7"/>
      <c r="H204" s="7"/>
    </row>
    <row r="205" spans="2:8" x14ac:dyDescent="0.4">
      <c r="B205" s="7"/>
      <c r="C205" s="7"/>
      <c r="D205" s="7"/>
      <c r="F205" s="7"/>
      <c r="G205" s="7"/>
      <c r="H205" s="7"/>
    </row>
    <row r="206" spans="2:8" x14ac:dyDescent="0.4">
      <c r="B206" s="7"/>
      <c r="C206" s="7"/>
      <c r="D206" s="7"/>
      <c r="F206" s="7"/>
      <c r="G206" s="7"/>
      <c r="H206" s="7"/>
    </row>
    <row r="207" spans="2:8" x14ac:dyDescent="0.4">
      <c r="B207" s="7"/>
      <c r="C207" s="7"/>
      <c r="D207" s="7"/>
      <c r="F207" s="7"/>
      <c r="G207" s="7"/>
      <c r="H207" s="7"/>
    </row>
    <row r="208" spans="2:8" x14ac:dyDescent="0.4">
      <c r="B208" s="7"/>
      <c r="C208" s="7"/>
      <c r="D208" s="7"/>
      <c r="F208" s="7"/>
      <c r="G208" s="7"/>
      <c r="H208" s="7"/>
    </row>
    <row r="209" spans="2:8" x14ac:dyDescent="0.4">
      <c r="B209" s="7"/>
      <c r="C209" s="7"/>
      <c r="D209" s="7"/>
      <c r="F209" s="7"/>
      <c r="G209" s="7"/>
      <c r="H209" s="7"/>
    </row>
    <row r="210" spans="2:8" x14ac:dyDescent="0.4">
      <c r="B210" s="7"/>
      <c r="C210" s="7"/>
      <c r="D210" s="7"/>
      <c r="F210" s="7"/>
      <c r="G210" s="7"/>
      <c r="H210" s="7"/>
    </row>
    <row r="211" spans="2:8" x14ac:dyDescent="0.4">
      <c r="B211" s="7"/>
      <c r="C211" s="7"/>
      <c r="D211" s="7"/>
      <c r="F211" s="7"/>
      <c r="G211" s="7"/>
      <c r="H211" s="7"/>
    </row>
    <row r="212" spans="2:8" x14ac:dyDescent="0.4">
      <c r="B212" s="7"/>
      <c r="C212" s="7"/>
      <c r="D212" s="7"/>
      <c r="F212" s="7"/>
      <c r="G212" s="7"/>
      <c r="H212" s="7"/>
    </row>
    <row r="213" spans="2:8" x14ac:dyDescent="0.4">
      <c r="B213" s="7"/>
      <c r="C213" s="7"/>
      <c r="D213" s="7"/>
      <c r="F213" s="7"/>
      <c r="G213" s="7"/>
      <c r="H213" s="7"/>
    </row>
    <row r="214" spans="2:8" x14ac:dyDescent="0.4">
      <c r="B214" s="7"/>
      <c r="C214" s="7"/>
      <c r="D214" s="7"/>
      <c r="F214" s="7"/>
      <c r="G214" s="7"/>
      <c r="H214" s="7"/>
    </row>
    <row r="215" spans="2:8" x14ac:dyDescent="0.4">
      <c r="B215" s="7"/>
      <c r="C215" s="7"/>
      <c r="D215" s="7"/>
      <c r="F215" s="7"/>
      <c r="G215" s="7"/>
      <c r="H215" s="7"/>
    </row>
    <row r="216" spans="2:8" x14ac:dyDescent="0.4">
      <c r="B216" s="7"/>
      <c r="C216" s="7"/>
      <c r="D216" s="7"/>
      <c r="F216" s="7"/>
      <c r="G216" s="7"/>
      <c r="H216" s="7"/>
    </row>
    <row r="217" spans="2:8" x14ac:dyDescent="0.4">
      <c r="B217" s="7"/>
      <c r="C217" s="7"/>
      <c r="D217" s="7"/>
      <c r="F217" s="7"/>
      <c r="G217" s="7"/>
      <c r="H217" s="7"/>
    </row>
    <row r="218" spans="2:8" x14ac:dyDescent="0.4">
      <c r="B218" s="7"/>
      <c r="C218" s="7"/>
      <c r="D218" s="7"/>
      <c r="F218" s="7"/>
      <c r="G218" s="7"/>
      <c r="H218" s="7"/>
    </row>
    <row r="219" spans="2:8" x14ac:dyDescent="0.4">
      <c r="B219" s="7"/>
      <c r="C219" s="7"/>
      <c r="D219" s="7"/>
      <c r="F219" s="7"/>
      <c r="G219" s="7"/>
      <c r="H219" s="7"/>
    </row>
    <row r="220" spans="2:8" x14ac:dyDescent="0.4">
      <c r="B220" s="7"/>
      <c r="C220" s="7"/>
      <c r="D220" s="7"/>
      <c r="F220" s="7"/>
      <c r="G220" s="7"/>
      <c r="H220" s="7"/>
    </row>
    <row r="221" spans="2:8" x14ac:dyDescent="0.4">
      <c r="B221" s="7"/>
      <c r="C221" s="7"/>
      <c r="D221" s="7"/>
      <c r="F221" s="7"/>
      <c r="G221" s="7"/>
      <c r="H221" s="7"/>
    </row>
    <row r="222" spans="2:8" x14ac:dyDescent="0.4">
      <c r="B222" s="7"/>
      <c r="C222" s="7"/>
      <c r="D222" s="7"/>
      <c r="F222" s="7"/>
      <c r="G222" s="7"/>
      <c r="H222" s="7"/>
    </row>
    <row r="223" spans="2:8" x14ac:dyDescent="0.4">
      <c r="B223" s="7"/>
      <c r="C223" s="7"/>
      <c r="D223" s="7"/>
      <c r="F223" s="7"/>
      <c r="G223" s="7"/>
      <c r="H223" s="7"/>
    </row>
    <row r="224" spans="2:8" x14ac:dyDescent="0.4">
      <c r="B224" s="7"/>
      <c r="C224" s="7"/>
      <c r="D224" s="7"/>
      <c r="F224" s="7"/>
      <c r="G224" s="7"/>
      <c r="H224" s="7"/>
    </row>
    <row r="225" spans="2:8" x14ac:dyDescent="0.4">
      <c r="B225" s="7"/>
      <c r="C225" s="7"/>
      <c r="D225" s="7"/>
      <c r="F225" s="7"/>
      <c r="G225" s="7"/>
      <c r="H225" s="7"/>
    </row>
    <row r="226" spans="2:8" x14ac:dyDescent="0.4">
      <c r="B226" s="7"/>
      <c r="C226" s="7"/>
      <c r="D226" s="7"/>
      <c r="F226" s="7"/>
      <c r="G226" s="7"/>
      <c r="H226" s="7"/>
    </row>
    <row r="227" spans="2:8" x14ac:dyDescent="0.4">
      <c r="B227" s="7"/>
      <c r="C227" s="7"/>
      <c r="D227" s="7"/>
      <c r="F227" s="7"/>
      <c r="G227" s="7"/>
      <c r="H227" s="7"/>
    </row>
    <row r="228" spans="2:8" x14ac:dyDescent="0.4">
      <c r="B228" s="7"/>
      <c r="C228" s="7"/>
      <c r="D228" s="7"/>
      <c r="F228" s="7"/>
      <c r="G228" s="7"/>
      <c r="H228" s="7"/>
    </row>
    <row r="229" spans="2:8" x14ac:dyDescent="0.4">
      <c r="B229" s="7"/>
      <c r="C229" s="7"/>
      <c r="D229" s="7"/>
      <c r="F229" s="7"/>
      <c r="G229" s="7"/>
      <c r="H229" s="7"/>
    </row>
    <row r="230" spans="2:8" x14ac:dyDescent="0.4">
      <c r="B230" s="7"/>
      <c r="C230" s="7"/>
      <c r="D230" s="7"/>
      <c r="F230" s="7"/>
      <c r="G230" s="7"/>
      <c r="H230" s="7"/>
    </row>
    <row r="231" spans="2:8" x14ac:dyDescent="0.4">
      <c r="B231" s="7"/>
      <c r="C231" s="7"/>
      <c r="D231" s="7"/>
      <c r="F231" s="7"/>
      <c r="G231" s="7"/>
      <c r="H231" s="7"/>
    </row>
    <row r="232" spans="2:8" x14ac:dyDescent="0.4">
      <c r="B232" s="7"/>
      <c r="C232" s="7"/>
      <c r="D232" s="7"/>
      <c r="F232" s="7"/>
      <c r="G232" s="7"/>
      <c r="H232" s="7"/>
    </row>
    <row r="233" spans="2:8" x14ac:dyDescent="0.4">
      <c r="B233" s="7"/>
      <c r="C233" s="7"/>
      <c r="D233" s="7"/>
      <c r="F233" s="7"/>
      <c r="G233" s="7"/>
      <c r="H233" s="7"/>
    </row>
    <row r="234" spans="2:8" x14ac:dyDescent="0.4">
      <c r="B234" s="7"/>
      <c r="C234" s="7"/>
      <c r="D234" s="7"/>
      <c r="F234" s="7"/>
      <c r="G234" s="7"/>
      <c r="H234" s="7"/>
    </row>
    <row r="235" spans="2:8" x14ac:dyDescent="0.4">
      <c r="B235" s="7"/>
      <c r="C235" s="7"/>
      <c r="D235" s="7"/>
      <c r="F235" s="7"/>
      <c r="G235" s="7"/>
      <c r="H235" s="7"/>
    </row>
    <row r="236" spans="2:8" x14ac:dyDescent="0.4">
      <c r="B236" s="7"/>
      <c r="C236" s="7"/>
      <c r="D236" s="7"/>
      <c r="F236" s="7"/>
      <c r="G236" s="7"/>
      <c r="H236" s="7"/>
    </row>
    <row r="237" spans="2:8" x14ac:dyDescent="0.4">
      <c r="B237" s="7"/>
      <c r="C237" s="7"/>
      <c r="D237" s="7"/>
      <c r="F237" s="7"/>
      <c r="G237" s="7"/>
      <c r="H237" s="7"/>
    </row>
    <row r="238" spans="2:8" x14ac:dyDescent="0.4">
      <c r="B238" s="7"/>
      <c r="C238" s="7"/>
      <c r="D238" s="7"/>
      <c r="F238" s="7"/>
      <c r="G238" s="7"/>
      <c r="H238" s="7"/>
    </row>
    <row r="239" spans="2:8" x14ac:dyDescent="0.4">
      <c r="B239" s="7"/>
      <c r="C239" s="7"/>
      <c r="D239" s="7"/>
      <c r="F239" s="7"/>
      <c r="G239" s="7"/>
      <c r="H239" s="7"/>
    </row>
    <row r="240" spans="2:8" x14ac:dyDescent="0.4">
      <c r="B240" s="7"/>
      <c r="C240" s="7"/>
      <c r="D240" s="7"/>
      <c r="F240" s="7"/>
      <c r="G240" s="7"/>
      <c r="H240" s="7"/>
    </row>
    <row r="241" spans="2:8" x14ac:dyDescent="0.4">
      <c r="B241" s="7"/>
      <c r="C241" s="7"/>
      <c r="D241" s="7"/>
      <c r="F241" s="7"/>
      <c r="G241" s="7"/>
      <c r="H241" s="7"/>
    </row>
    <row r="242" spans="2:8" x14ac:dyDescent="0.4">
      <c r="B242" s="7"/>
      <c r="C242" s="7"/>
      <c r="D242" s="7"/>
      <c r="F242" s="7"/>
      <c r="G242" s="7"/>
      <c r="H242" s="7"/>
    </row>
    <row r="243" spans="2:8" x14ac:dyDescent="0.4">
      <c r="B243" s="7"/>
      <c r="C243" s="7"/>
      <c r="D243" s="7"/>
      <c r="F243" s="7"/>
      <c r="G243" s="7"/>
      <c r="H243" s="7"/>
    </row>
    <row r="244" spans="2:8" x14ac:dyDescent="0.4">
      <c r="B244" s="7"/>
      <c r="C244" s="7"/>
      <c r="D244" s="7"/>
      <c r="F244" s="7"/>
      <c r="G244" s="7"/>
      <c r="H244" s="7"/>
    </row>
    <row r="245" spans="2:8" x14ac:dyDescent="0.4">
      <c r="B245" s="7"/>
      <c r="C245" s="7"/>
      <c r="D245" s="7"/>
      <c r="F245" s="7"/>
      <c r="G245" s="7"/>
      <c r="H245" s="7"/>
    </row>
    <row r="246" spans="2:8" x14ac:dyDescent="0.4">
      <c r="B246" s="7"/>
      <c r="C246" s="7"/>
      <c r="D246" s="7"/>
      <c r="F246" s="7"/>
      <c r="G246" s="7"/>
      <c r="H246" s="7"/>
    </row>
    <row r="247" spans="2:8" x14ac:dyDescent="0.4">
      <c r="B247" s="7"/>
      <c r="C247" s="7"/>
      <c r="D247" s="7"/>
      <c r="F247" s="7"/>
      <c r="G247" s="7"/>
      <c r="H247" s="7"/>
    </row>
    <row r="248" spans="2:8" x14ac:dyDescent="0.4">
      <c r="B248" s="7"/>
      <c r="C248" s="7"/>
      <c r="D248" s="7"/>
      <c r="F248" s="7"/>
      <c r="G248" s="7"/>
      <c r="H248" s="7"/>
    </row>
    <row r="249" spans="2:8" x14ac:dyDescent="0.4">
      <c r="B249" s="7"/>
      <c r="C249" s="7"/>
      <c r="D249" s="7"/>
      <c r="F249" s="7"/>
      <c r="G249" s="7"/>
      <c r="H249" s="7"/>
    </row>
    <row r="250" spans="2:8" x14ac:dyDescent="0.4">
      <c r="B250" s="7"/>
      <c r="C250" s="7"/>
      <c r="D250" s="7"/>
      <c r="F250" s="7"/>
      <c r="G250" s="7"/>
      <c r="H250" s="7"/>
    </row>
    <row r="251" spans="2:8" x14ac:dyDescent="0.4">
      <c r="B251" s="7"/>
      <c r="C251" s="7"/>
      <c r="D251" s="7"/>
      <c r="F251" s="7"/>
      <c r="G251" s="7"/>
      <c r="H251" s="7"/>
    </row>
    <row r="252" spans="2:8" x14ac:dyDescent="0.4">
      <c r="B252" s="7"/>
      <c r="C252" s="7"/>
      <c r="D252" s="7"/>
      <c r="F252" s="7"/>
      <c r="G252" s="7"/>
      <c r="H252" s="7"/>
    </row>
    <row r="253" spans="2:8" x14ac:dyDescent="0.4">
      <c r="B253" s="7"/>
      <c r="C253" s="7"/>
      <c r="D253" s="7"/>
      <c r="F253" s="7"/>
      <c r="G253" s="7"/>
      <c r="H253" s="7"/>
    </row>
    <row r="254" spans="2:8" x14ac:dyDescent="0.4">
      <c r="B254" s="7"/>
      <c r="C254" s="7"/>
      <c r="D254" s="7"/>
      <c r="F254" s="7"/>
      <c r="G254" s="7"/>
      <c r="H254" s="7"/>
    </row>
    <row r="255" spans="2:8" x14ac:dyDescent="0.4">
      <c r="B255" s="7"/>
      <c r="C255" s="7"/>
      <c r="D255" s="7"/>
      <c r="F255" s="7"/>
      <c r="G255" s="7"/>
      <c r="H255" s="7"/>
    </row>
    <row r="256" spans="2:8" x14ac:dyDescent="0.4">
      <c r="B256" s="7"/>
      <c r="C256" s="7"/>
      <c r="D256" s="7"/>
      <c r="F256" s="7"/>
      <c r="G256" s="7"/>
      <c r="H256" s="7"/>
    </row>
    <row r="257" spans="2:8" x14ac:dyDescent="0.4">
      <c r="B257" s="7"/>
      <c r="C257" s="7"/>
      <c r="D257" s="7"/>
      <c r="F257" s="7"/>
      <c r="G257" s="7"/>
      <c r="H257" s="7"/>
    </row>
    <row r="258" spans="2:8" x14ac:dyDescent="0.4">
      <c r="B258" s="7"/>
      <c r="C258" s="7"/>
      <c r="D258" s="7"/>
      <c r="F258" s="7"/>
      <c r="G258" s="7"/>
      <c r="H258" s="7"/>
    </row>
    <row r="259" spans="2:8" x14ac:dyDescent="0.4">
      <c r="B259" s="7"/>
      <c r="C259" s="7"/>
      <c r="D259" s="7"/>
      <c r="F259" s="7"/>
      <c r="G259" s="7"/>
      <c r="H259" s="7"/>
    </row>
    <row r="260" spans="2:8" x14ac:dyDescent="0.4">
      <c r="B260" s="7"/>
      <c r="C260" s="7"/>
      <c r="D260" s="7"/>
      <c r="F260" s="7"/>
      <c r="G260" s="7"/>
      <c r="H260" s="7"/>
    </row>
    <row r="261" spans="2:8" x14ac:dyDescent="0.4">
      <c r="B261" s="7"/>
      <c r="C261" s="7"/>
      <c r="D261" s="7"/>
      <c r="F261" s="7"/>
      <c r="G261" s="7"/>
      <c r="H261" s="7"/>
    </row>
    <row r="262" spans="2:8" x14ac:dyDescent="0.4">
      <c r="B262" s="7"/>
      <c r="C262" s="7"/>
      <c r="D262" s="7"/>
      <c r="F262" s="7"/>
      <c r="G262" s="7"/>
      <c r="H262" s="7"/>
    </row>
    <row r="263" spans="2:8" x14ac:dyDescent="0.4">
      <c r="B263" s="7"/>
      <c r="C263" s="7"/>
      <c r="D263" s="7"/>
      <c r="F263" s="7"/>
      <c r="G263" s="7"/>
      <c r="H263" s="7"/>
    </row>
    <row r="264" spans="2:8" x14ac:dyDescent="0.4">
      <c r="B264" s="7"/>
      <c r="C264" s="7"/>
      <c r="D264" s="7"/>
      <c r="F264" s="7"/>
      <c r="G264" s="7"/>
      <c r="H264" s="7"/>
    </row>
    <row r="265" spans="2:8" x14ac:dyDescent="0.4">
      <c r="B265" s="7"/>
      <c r="C265" s="7"/>
      <c r="D265" s="7"/>
      <c r="F265" s="7"/>
      <c r="G265" s="7"/>
      <c r="H265" s="7"/>
    </row>
    <row r="266" spans="2:8" x14ac:dyDescent="0.4">
      <c r="B266" s="7"/>
      <c r="C266" s="7"/>
      <c r="D266" s="7"/>
      <c r="F266" s="7"/>
      <c r="G266" s="7"/>
      <c r="H266" s="7"/>
    </row>
    <row r="267" spans="2:8" x14ac:dyDescent="0.4">
      <c r="B267" s="7"/>
      <c r="C267" s="7"/>
      <c r="D267" s="7"/>
      <c r="F267" s="7"/>
      <c r="G267" s="7"/>
      <c r="H267" s="7"/>
    </row>
    <row r="268" spans="2:8" x14ac:dyDescent="0.4">
      <c r="B268" s="7"/>
      <c r="C268" s="7"/>
      <c r="D268" s="7"/>
      <c r="F268" s="7"/>
      <c r="G268" s="7"/>
      <c r="H268" s="7"/>
    </row>
    <row r="269" spans="2:8" x14ac:dyDescent="0.4">
      <c r="B269" s="7"/>
      <c r="C269" s="7"/>
      <c r="D269" s="7"/>
      <c r="F269" s="7"/>
      <c r="G269" s="7"/>
      <c r="H269" s="7"/>
    </row>
    <row r="270" spans="2:8" x14ac:dyDescent="0.4">
      <c r="B270" s="7"/>
      <c r="C270" s="7"/>
      <c r="D270" s="7"/>
      <c r="F270" s="7"/>
      <c r="G270" s="7"/>
      <c r="H270" s="7"/>
    </row>
    <row r="271" spans="2:8" x14ac:dyDescent="0.4">
      <c r="B271" s="7"/>
      <c r="C271" s="7"/>
      <c r="D271" s="7"/>
      <c r="F271" s="7"/>
      <c r="G271" s="7"/>
      <c r="H271" s="7"/>
    </row>
    <row r="272" spans="2:8" x14ac:dyDescent="0.4">
      <c r="B272" s="7"/>
      <c r="C272" s="7"/>
      <c r="D272" s="7"/>
      <c r="F272" s="7"/>
      <c r="G272" s="7"/>
      <c r="H272" s="7"/>
    </row>
    <row r="273" spans="2:8" x14ac:dyDescent="0.4">
      <c r="B273" s="7"/>
      <c r="C273" s="7"/>
      <c r="D273" s="7"/>
      <c r="F273" s="7"/>
      <c r="G273" s="7"/>
      <c r="H273" s="7"/>
    </row>
    <row r="274" spans="2:8" x14ac:dyDescent="0.4">
      <c r="B274" s="7"/>
      <c r="C274" s="7"/>
      <c r="D274" s="7"/>
      <c r="F274" s="7"/>
      <c r="G274" s="7"/>
      <c r="H274" s="7"/>
    </row>
    <row r="275" spans="2:8" x14ac:dyDescent="0.4">
      <c r="B275" s="7"/>
      <c r="C275" s="7"/>
      <c r="D275" s="7"/>
      <c r="F275" s="7"/>
      <c r="G275" s="7"/>
      <c r="H275" s="7"/>
    </row>
    <row r="276" spans="2:8" x14ac:dyDescent="0.4">
      <c r="B276" s="7"/>
      <c r="C276" s="7"/>
      <c r="D276" s="7"/>
      <c r="F276" s="7"/>
      <c r="G276" s="7"/>
      <c r="H276" s="7"/>
    </row>
    <row r="277" spans="2:8" x14ac:dyDescent="0.4">
      <c r="B277" s="7"/>
      <c r="C277" s="7"/>
      <c r="D277" s="7"/>
      <c r="F277" s="7"/>
      <c r="G277" s="7"/>
      <c r="H277" s="7"/>
    </row>
    <row r="278" spans="2:8" x14ac:dyDescent="0.4">
      <c r="B278" s="7"/>
      <c r="C278" s="7"/>
      <c r="D278" s="7"/>
      <c r="F278" s="7"/>
      <c r="G278" s="7"/>
      <c r="H278" s="7"/>
    </row>
    <row r="279" spans="2:8" x14ac:dyDescent="0.4">
      <c r="B279" s="7"/>
      <c r="C279" s="7"/>
      <c r="D279" s="7"/>
      <c r="F279" s="7"/>
      <c r="G279" s="7"/>
      <c r="H279" s="7"/>
    </row>
    <row r="280" spans="2:8" x14ac:dyDescent="0.4">
      <c r="B280" s="7"/>
      <c r="C280" s="7"/>
      <c r="D280" s="7"/>
      <c r="F280" s="7"/>
      <c r="G280" s="7"/>
      <c r="H280" s="7"/>
    </row>
    <row r="281" spans="2:8" x14ac:dyDescent="0.4">
      <c r="B281" s="7"/>
      <c r="C281" s="7"/>
      <c r="D281" s="7"/>
      <c r="F281" s="7"/>
      <c r="G281" s="7"/>
      <c r="H281" s="7"/>
    </row>
    <row r="282" spans="2:8" x14ac:dyDescent="0.4">
      <c r="B282" s="7"/>
      <c r="C282" s="7"/>
      <c r="D282" s="7"/>
      <c r="F282" s="7"/>
      <c r="G282" s="7"/>
      <c r="H282" s="7"/>
    </row>
    <row r="283" spans="2:8" x14ac:dyDescent="0.4">
      <c r="B283" s="7"/>
      <c r="C283" s="7"/>
      <c r="D283" s="7"/>
      <c r="F283" s="7"/>
      <c r="G283" s="7"/>
      <c r="H283" s="7"/>
    </row>
    <row r="284" spans="2:8" x14ac:dyDescent="0.4">
      <c r="B284" s="7"/>
      <c r="C284" s="7"/>
      <c r="D284" s="7"/>
      <c r="F284" s="7"/>
      <c r="G284" s="7"/>
      <c r="H284" s="7"/>
    </row>
    <row r="285" spans="2:8" x14ac:dyDescent="0.4">
      <c r="B285" s="7"/>
      <c r="C285" s="7"/>
      <c r="D285" s="7"/>
      <c r="F285" s="7"/>
      <c r="G285" s="7"/>
      <c r="H285" s="7"/>
    </row>
    <row r="286" spans="2:8" x14ac:dyDescent="0.4">
      <c r="B286" s="7"/>
      <c r="C286" s="7"/>
      <c r="D286" s="7"/>
      <c r="F286" s="7"/>
      <c r="G286" s="7"/>
      <c r="H286" s="7"/>
    </row>
    <row r="287" spans="2:8" x14ac:dyDescent="0.4">
      <c r="B287" s="7"/>
      <c r="C287" s="7"/>
      <c r="D287" s="7"/>
      <c r="F287" s="7"/>
      <c r="G287" s="7"/>
      <c r="H287" s="7"/>
    </row>
    <row r="288" spans="2:8" x14ac:dyDescent="0.4">
      <c r="B288" s="7"/>
      <c r="C288" s="7"/>
      <c r="D288" s="7"/>
      <c r="F288" s="7"/>
      <c r="G288" s="7"/>
      <c r="H288" s="7"/>
    </row>
    <row r="289" spans="2:8" x14ac:dyDescent="0.4">
      <c r="B289" s="7"/>
      <c r="C289" s="7"/>
      <c r="D289" s="7"/>
      <c r="F289" s="7"/>
      <c r="G289" s="7"/>
      <c r="H289" s="7"/>
    </row>
    <row r="290" spans="2:8" x14ac:dyDescent="0.4">
      <c r="B290" s="7"/>
      <c r="C290" s="7"/>
      <c r="D290" s="7"/>
      <c r="F290" s="7"/>
      <c r="G290" s="7"/>
      <c r="H290" s="7"/>
    </row>
    <row r="291" spans="2:8" x14ac:dyDescent="0.4">
      <c r="B291" s="7"/>
      <c r="C291" s="7"/>
      <c r="D291" s="7"/>
      <c r="F291" s="7"/>
      <c r="G291" s="7"/>
      <c r="H291" s="7"/>
    </row>
    <row r="292" spans="2:8" x14ac:dyDescent="0.4">
      <c r="B292" s="7"/>
      <c r="C292" s="7"/>
      <c r="D292" s="7"/>
      <c r="F292" s="7"/>
      <c r="G292" s="7"/>
      <c r="H292" s="7"/>
    </row>
    <row r="293" spans="2:8" x14ac:dyDescent="0.4">
      <c r="B293" s="7"/>
      <c r="C293" s="7"/>
      <c r="D293" s="7"/>
      <c r="F293" s="7"/>
      <c r="G293" s="7"/>
      <c r="H293" s="7"/>
    </row>
    <row r="294" spans="2:8" x14ac:dyDescent="0.4">
      <c r="B294" s="7"/>
      <c r="C294" s="7"/>
      <c r="D294" s="7"/>
      <c r="F294" s="7"/>
      <c r="G294" s="7"/>
      <c r="H294" s="7"/>
    </row>
    <row r="295" spans="2:8" x14ac:dyDescent="0.4">
      <c r="B295" s="7"/>
      <c r="C295" s="7"/>
      <c r="D295" s="7"/>
      <c r="F295" s="7"/>
      <c r="G295" s="7"/>
      <c r="H295" s="7"/>
    </row>
    <row r="296" spans="2:8" x14ac:dyDescent="0.4">
      <c r="B296" s="7"/>
      <c r="C296" s="7"/>
      <c r="D296" s="7"/>
      <c r="F296" s="7"/>
      <c r="G296" s="7"/>
      <c r="H296" s="7"/>
    </row>
    <row r="297" spans="2:8" x14ac:dyDescent="0.4">
      <c r="B297" s="7"/>
      <c r="C297" s="7"/>
      <c r="D297" s="7"/>
      <c r="F297" s="7"/>
      <c r="G297" s="7"/>
      <c r="H297" s="7"/>
    </row>
    <row r="298" spans="2:8" x14ac:dyDescent="0.4">
      <c r="B298" s="7"/>
      <c r="C298" s="7"/>
      <c r="D298" s="7"/>
      <c r="F298" s="7"/>
      <c r="G298" s="7"/>
      <c r="H298" s="7"/>
    </row>
    <row r="299" spans="2:8" x14ac:dyDescent="0.4">
      <c r="B299" s="7"/>
      <c r="C299" s="7"/>
      <c r="D299" s="7"/>
      <c r="F299" s="7"/>
      <c r="G299" s="7"/>
      <c r="H299" s="7"/>
    </row>
    <row r="300" spans="2:8" x14ac:dyDescent="0.4">
      <c r="B300" s="7"/>
      <c r="C300" s="7"/>
      <c r="D300" s="7"/>
      <c r="F300" s="7"/>
      <c r="G300" s="7"/>
      <c r="H300" s="7"/>
    </row>
    <row r="301" spans="2:8" x14ac:dyDescent="0.4">
      <c r="B301" s="7"/>
      <c r="C301" s="7"/>
      <c r="D301" s="7"/>
      <c r="F301" s="7"/>
      <c r="G301" s="7"/>
      <c r="H301" s="7"/>
    </row>
    <row r="302" spans="2:8" x14ac:dyDescent="0.4">
      <c r="B302" s="7"/>
      <c r="C302" s="7"/>
      <c r="D302" s="7"/>
      <c r="F302" s="7"/>
      <c r="G302" s="7"/>
      <c r="H302" s="7"/>
    </row>
    <row r="303" spans="2:8" x14ac:dyDescent="0.4">
      <c r="B303" s="7"/>
      <c r="C303" s="7"/>
      <c r="D303" s="7"/>
      <c r="F303" s="7"/>
      <c r="G303" s="7"/>
      <c r="H303" s="7"/>
    </row>
    <row r="304" spans="2:8" x14ac:dyDescent="0.4">
      <c r="B304" s="7"/>
      <c r="C304" s="7"/>
      <c r="D304" s="7"/>
      <c r="F304" s="7"/>
      <c r="G304" s="7"/>
      <c r="H304" s="7"/>
    </row>
  </sheetData>
  <mergeCells count="21">
    <mergeCell ref="J20:J21"/>
    <mergeCell ref="K20:K21"/>
    <mergeCell ref="M20:M21"/>
    <mergeCell ref="N20:N21"/>
    <mergeCell ref="J22:J23"/>
    <mergeCell ref="K22:K23"/>
    <mergeCell ref="M22:M23"/>
    <mergeCell ref="N22:N23"/>
    <mergeCell ref="M16:M17"/>
    <mergeCell ref="N16:N17"/>
    <mergeCell ref="J18:J19"/>
    <mergeCell ref="K18:K19"/>
    <mergeCell ref="M18:M19"/>
    <mergeCell ref="N18:N19"/>
    <mergeCell ref="J16:J17"/>
    <mergeCell ref="K16:K17"/>
    <mergeCell ref="A1:J1"/>
    <mergeCell ref="B3:D3"/>
    <mergeCell ref="F3:H3"/>
    <mergeCell ref="J3:K3"/>
    <mergeCell ref="J4:K4"/>
  </mergeCells>
  <phoneticPr fontId="1"/>
  <conditionalFormatting sqref="B4:D330">
    <cfRule type="cellIs" dxfId="9" priority="6" operator="equal">
      <formula>"牛お化け"</formula>
    </cfRule>
    <cfRule type="cellIs" dxfId="8" priority="7" operator="equal">
      <formula>"上タヌキ"</formula>
    </cfRule>
    <cfRule type="cellIs" dxfId="7" priority="8" operator="equal">
      <formula>"デカタヌキ"</formula>
    </cfRule>
    <cfRule type="containsText" dxfId="6" priority="9" operator="containsText" text="タヌキ">
      <formula>NOT(ISERROR(SEARCH("タヌキ",B4)))</formula>
    </cfRule>
    <cfRule type="containsText" dxfId="5" priority="10" operator="containsText" text="スタート">
      <formula>NOT(ISERROR(SEARCH("スタート",B4)))</formula>
    </cfRule>
  </conditionalFormatting>
  <conditionalFormatting sqref="F4:H350">
    <cfRule type="cellIs" dxfId="4" priority="1" operator="equal">
      <formula>"スタート"</formula>
    </cfRule>
    <cfRule type="containsText" dxfId="3" priority="2" operator="containsText" text="Y">
      <formula>NOT(ISERROR(SEARCH("Y",F4)))</formula>
    </cfRule>
    <cfRule type="containsText" dxfId="2" priority="3" operator="containsText" text="B">
      <formula>NOT(ISERROR(SEARCH("B",F4)))</formula>
    </cfRule>
    <cfRule type="containsText" dxfId="1" priority="4" operator="containsText" text="X">
      <formula>NOT(ISERROR(SEARCH("X",F4)))</formula>
    </cfRule>
    <cfRule type="containsText" dxfId="0" priority="5" operator="containsText" text="A">
      <formula>NOT(ISERROR(SEARCH("A",F4)))</formula>
    </cfRule>
  </conditionalFormatting>
  <dataValidations count="2">
    <dataValidation type="list" allowBlank="1" showInputMessage="1" showErrorMessage="1" sqref="B4:D311">
      <formula1>"タヌキ,牛お化け,上タヌキ,デカタヌキ"</formula1>
    </dataValidation>
    <dataValidation type="list" allowBlank="1" showInputMessage="1" showErrorMessage="1" sqref="F4:H327">
      <formula1>"A,B,X,Y"</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102" r:id="rId4" name="CommandCheck">
          <controlPr defaultSize="0" autoLine="0" r:id="rId5">
            <anchor moveWithCells="1">
              <from>
                <xdr:col>9</xdr:col>
                <xdr:colOff>9525</xdr:colOff>
                <xdr:row>6</xdr:row>
                <xdr:rowOff>19050</xdr:rowOff>
              </from>
              <to>
                <xdr:col>12</xdr:col>
                <xdr:colOff>561975</xdr:colOff>
                <xdr:row>8</xdr:row>
                <xdr:rowOff>38100</xdr:rowOff>
              </to>
            </anchor>
          </controlPr>
        </control>
      </mc:Choice>
      <mc:Fallback>
        <control shapeId="4102" r:id="rId4" name="CommandCheck"/>
      </mc:Fallback>
    </mc:AlternateContent>
    <mc:AlternateContent xmlns:mc="http://schemas.openxmlformats.org/markup-compatibility/2006">
      <mc:Choice Requires="x14">
        <control shapeId="4101" r:id="rId6" name="Stage_Long_TenUP">
          <controlPr defaultSize="0" autoLine="0" r:id="rId7">
            <anchor moveWithCells="1">
              <from>
                <xdr:col>11</xdr:col>
                <xdr:colOff>9525</xdr:colOff>
                <xdr:row>1</xdr:row>
                <xdr:rowOff>0</xdr:rowOff>
              </from>
              <to>
                <xdr:col>12</xdr:col>
                <xdr:colOff>0</xdr:colOff>
                <xdr:row>2</xdr:row>
                <xdr:rowOff>0</xdr:rowOff>
              </to>
            </anchor>
          </controlPr>
        </control>
      </mc:Choice>
      <mc:Fallback>
        <control shapeId="4101" r:id="rId6" name="Stage_Long_TenUP"/>
      </mc:Fallback>
    </mc:AlternateContent>
    <mc:AlternateContent xmlns:mc="http://schemas.openxmlformats.org/markup-compatibility/2006">
      <mc:Choice Requires="x14">
        <control shapeId="4100" r:id="rId8" name="Stage_Long_TenDown">
          <controlPr defaultSize="0" autoLine="0" r:id="rId9">
            <anchor moveWithCells="1">
              <from>
                <xdr:col>11</xdr:col>
                <xdr:colOff>0</xdr:colOff>
                <xdr:row>4</xdr:row>
                <xdr:rowOff>19050</xdr:rowOff>
              </from>
              <to>
                <xdr:col>11</xdr:col>
                <xdr:colOff>685800</xdr:colOff>
                <xdr:row>5</xdr:row>
                <xdr:rowOff>28575</xdr:rowOff>
              </to>
            </anchor>
          </controlPr>
        </control>
      </mc:Choice>
      <mc:Fallback>
        <control shapeId="4100" r:id="rId8" name="Stage_Long_TenDown"/>
      </mc:Fallback>
    </mc:AlternateContent>
    <mc:AlternateContent xmlns:mc="http://schemas.openxmlformats.org/markup-compatibility/2006">
      <mc:Choice Requires="x14">
        <control shapeId="4099" r:id="rId10" name="Stage_Long_OneDown">
          <controlPr defaultSize="0" autoLine="0" r:id="rId11">
            <anchor moveWithCells="1">
              <from>
                <xdr:col>11</xdr:col>
                <xdr:colOff>0</xdr:colOff>
                <xdr:row>2</xdr:row>
                <xdr:rowOff>219075</xdr:rowOff>
              </from>
              <to>
                <xdr:col>11</xdr:col>
                <xdr:colOff>685800</xdr:colOff>
                <xdr:row>3</xdr:row>
                <xdr:rowOff>228600</xdr:rowOff>
              </to>
            </anchor>
          </controlPr>
        </control>
      </mc:Choice>
      <mc:Fallback>
        <control shapeId="4099" r:id="rId10" name="Stage_Long_OneDown"/>
      </mc:Fallback>
    </mc:AlternateContent>
    <mc:AlternateContent xmlns:mc="http://schemas.openxmlformats.org/markup-compatibility/2006">
      <mc:Choice Requires="x14">
        <control shapeId="4098" r:id="rId12" name="Stage_Long_OneUP">
          <controlPr defaultSize="0" autoLine="0" r:id="rId13">
            <anchor moveWithCells="1">
              <from>
                <xdr:col>11</xdr:col>
                <xdr:colOff>0</xdr:colOff>
                <xdr:row>1</xdr:row>
                <xdr:rowOff>219075</xdr:rowOff>
              </from>
              <to>
                <xdr:col>11</xdr:col>
                <xdr:colOff>685800</xdr:colOff>
                <xdr:row>2</xdr:row>
                <xdr:rowOff>219075</xdr:rowOff>
              </to>
            </anchor>
          </controlPr>
        </control>
      </mc:Choice>
      <mc:Fallback>
        <control shapeId="4098" r:id="rId12" name="Stage_Long_OneUP"/>
      </mc:Fallback>
    </mc:AlternateContent>
    <mc:AlternateContent xmlns:mc="http://schemas.openxmlformats.org/markup-compatibility/2006">
      <mc:Choice Requires="x14">
        <control shapeId="4097" r:id="rId14" name="CommandButton1">
          <controlPr defaultSize="0" autoLine="0" r:id="rId15">
            <anchor moveWithCells="1">
              <from>
                <xdr:col>9</xdr:col>
                <xdr:colOff>19050</xdr:colOff>
                <xdr:row>9</xdr:row>
                <xdr:rowOff>19050</xdr:rowOff>
              </from>
              <to>
                <xdr:col>12</xdr:col>
                <xdr:colOff>485775</xdr:colOff>
                <xdr:row>11</xdr:row>
                <xdr:rowOff>209550</xdr:rowOff>
              </to>
            </anchor>
          </controlPr>
        </control>
      </mc:Choice>
      <mc:Fallback>
        <control shapeId="4097" r:id="rId1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Stage1</vt:lpstr>
      <vt:lpstr>Stage2</vt:lpstr>
      <vt:lpstr>Stage3</vt:lpstr>
      <vt:lpstr>Extra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Noriko</dc:creator>
  <cp:lastModifiedBy>hera</cp:lastModifiedBy>
  <dcterms:created xsi:type="dcterms:W3CDTF">2019-11-10T08:21:33Z</dcterms:created>
  <dcterms:modified xsi:type="dcterms:W3CDTF">2020-01-10T00:59:59Z</dcterms:modified>
</cp:coreProperties>
</file>